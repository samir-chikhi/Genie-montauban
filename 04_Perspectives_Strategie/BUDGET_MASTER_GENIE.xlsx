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📊 SYNTHESE" sheetId="1" state="visible" r:id="rId3"/>
    <sheet name="⚙️ Hypothèses" sheetId="2" state="visible" r:id="rId4"/>
    <sheet name="👥 Locataires" sheetId="3" state="visible" r:id="rId5"/>
    <sheet name="💰 Revenus" sheetId="4" state="visible" r:id="rId6"/>
    <sheet name="💸 Charges" sheetId="5" state="visible" r:id="rId7"/>
    <sheet name="🎪 Animations" sheetId="6" state="visible" r:id="rId8"/>
    <sheet name="📈 Compte de résultat" sheetId="7" state="visible" r:id="rId9"/>
    <sheet name="💧 Trésorerie" sheetId="8" state="visible" r:id="rId10"/>
    <sheet name="🎯 Scenarios" sheetId="9" state="visible" r:id="rId11"/>
    <sheet name="📅 Projection 2027" sheetId="10" state="visible" r:id="rId12"/>
    <sheet name="📋 Sourc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7" authorId="0">
      <text>
        <r>
          <rPr>
            <sz val="10"/>
            <rFont val="Arial"/>
            <family val="2"/>
          </rPr>
          <t xml:space="preserve">SS:
à vérifier
</t>
        </r>
      </text>
    </comment>
  </commentList>
</comments>
</file>

<file path=xl/sharedStrings.xml><?xml version="1.0" encoding="utf-8"?>
<sst xmlns="http://schemas.openxmlformats.org/spreadsheetml/2006/main" count="849" uniqueCount="558">
  <si>
    <t xml:space="preserve">BUDGET MASTER GÉNIE 2026 — SYNTHÈSE DE DIRECTION</t>
  </si>
  <si>
    <t xml:space="preserve">Tiers-Lieu Génie · 12 rue du Génie 82000 Montauban · Dernière mise à jour : 17/04/2026</t>
  </si>
  <si>
    <t xml:space="preserve">1 · INDICATEURS CLÉS — ANNÉE 2026 (scénario médian)</t>
  </si>
  <si>
    <t xml:space="preserve">Chiffre d'affaires prévisionnel HT</t>
  </si>
  <si>
    <t xml:space="preserve">Total charges d'exploitation</t>
  </si>
  <si>
    <t xml:space="preserve">Résultat net 2026</t>
  </si>
  <si>
    <t xml:space="preserve">Trésorerie en fin d'année (solde cumulé)</t>
  </si>
  <si>
    <t xml:space="preserve">Seuil de rentabilité mensuel (point mort)</t>
  </si>
  <si>
    <t xml:space="preserve">Taux d'occupation moyen des bureaux privatifs</t>
  </si>
  <si>
    <t xml:space="preserve">Nombre de bureaux privatifs loués (moyenne 2026)</t>
  </si>
  <si>
    <t xml:space="preserve">2 · LOCATAIRES SIGNÉS (source : dossiers Contrats clients en cours)</t>
  </si>
  <si>
    <t xml:space="preserve">Locataire</t>
  </si>
  <si>
    <t xml:space="preserve">Statut</t>
  </si>
  <si>
    <t xml:space="preserve">Espace</t>
  </si>
  <si>
    <t xml:space="preserve">Surface</t>
  </si>
  <si>
    <t xml:space="preserve">Formule</t>
  </si>
  <si>
    <t xml:space="preserve">Loyer HC/mois</t>
  </si>
  <si>
    <t xml:space="preserve">Charges/mois</t>
  </si>
  <si>
    <t xml:space="preserve">Total TCC/mois</t>
  </si>
  <si>
    <t xml:space="preserve">OVNI-Graphics</t>
  </si>
  <si>
    <t xml:space="preserve">Signé 18/03/2026</t>
  </si>
  <si>
    <t xml:space="preserve">Bureau 1-09 Baden POWELL</t>
  </si>
  <si>
    <t xml:space="preserve">16 m²</t>
  </si>
  <si>
    <t xml:space="preserve">Bail 1 an + badge + cave</t>
  </si>
  <si>
    <t xml:space="preserve">Antre-Connaissance</t>
  </si>
  <si>
    <t xml:space="preserve">Convention signée</t>
  </si>
  <si>
    <t xml:space="preserve">Salle de réunion (1h/sem)</t>
  </si>
  <si>
    <t xml:space="preserve">-</t>
  </si>
  <si>
    <t xml:space="preserve">Convention usage salle — 1h/semaine</t>
  </si>
  <si>
    <t xml:space="preserve">FNE</t>
  </si>
  <si>
    <t xml:space="preserve">Accès conventionné</t>
  </si>
  <si>
    <t xml:space="preserve">Partenariat</t>
  </si>
  <si>
    <t xml:space="preserve">MOBICOOP</t>
  </si>
  <si>
    <t xml:space="preserve">Convention Juillet</t>
  </si>
  <si>
    <t xml:space="preserve">1-07 Aimée CÉSAIRE + 1-08 CONDORCET</t>
  </si>
  <si>
    <t xml:space="preserve">34 m²</t>
  </si>
  <si>
    <t xml:space="preserve">Bail 3/6/9 (15€/m²) — dès 01/07/2026</t>
  </si>
  <si>
    <t xml:space="preserve">↳ MOBICOOP : recettes effectives juillet–décembre 2026 uniquement (6 × 637,30 € = 3 823,80 €/an)</t>
  </si>
  <si>
    <t xml:space="preserve">Nadine DAUGE</t>
  </si>
  <si>
    <t xml:space="preserve">TOTAL mensuel (signés + conventions — hors MOBICOOP S1)</t>
  </si>
  <si>
    <t xml:space="preserve">3 · SCÉNARIOS DE REMPLISSAGE — RÉSULTAT 2026</t>
  </si>
  <si>
    <t xml:space="preserve">Scénario</t>
  </si>
  <si>
    <t xml:space="preserve">Taux occ. bureaux</t>
  </si>
  <si>
    <t xml:space="preserve">Cowork abo.</t>
  </si>
  <si>
    <t xml:space="preserve">Salles/mois</t>
  </si>
  <si>
    <t xml:space="preserve">CA 2026</t>
  </si>
  <si>
    <t xml:space="preserve">Charges 2026</t>
  </si>
  <si>
    <t xml:space="preserve">Résultat</t>
  </si>
  <si>
    <t xml:space="preserve">Commentaire</t>
  </si>
  <si>
    <t xml:space="preserve">🔴 BAS (prudent)</t>
  </si>
  <si>
    <t xml:space="preserve">Ne couvre pas les charges, perte &gt; 8 k€</t>
  </si>
  <si>
    <t xml:space="preserve">🟡 MÉDIAN (cible)</t>
  </si>
  <si>
    <t xml:space="preserve">Équilibre atteint en fin d'année</t>
  </si>
  <si>
    <t xml:space="preserve">🟢 HAUT (optimiste)</t>
  </si>
  <si>
    <t xml:space="preserve">Excédent à réinvestir</t>
  </si>
  <si>
    <t xml:space="preserve">4 · ALERTES &amp; RECOMMANDATIONS</t>
  </si>
  <si>
    <t xml:space="preserve">⚠️ Trésorerie</t>
  </si>
  <si>
    <t xml:space="preserve">Mois le plus bas en 2026 :</t>
  </si>
  <si>
    <t xml:space="preserve">Besoin de fonds de roulement à sécuriser via avance CCFA (8 000 €)</t>
  </si>
  <si>
    <t xml:space="preserve">⚠️ Taxe foncière</t>
  </si>
  <si>
    <t xml:space="preserve">Décaissement en octobre 2026 :</t>
  </si>
  <si>
    <t xml:space="preserve">Provisionner 350 €/mois dès janvier pour éviter un trou de trésorerie</t>
  </si>
  <si>
    <t xml:space="preserve">📌 Loyer</t>
  </si>
  <si>
    <t xml:space="preserve">Palier passage loyer plein dès juillet 2026 :</t>
  </si>
  <si>
    <t xml:space="preserve">Préparer le CA à supporter ce palier (janv-juin = 250 €, juil-déc = 1 950 €)</t>
  </si>
  <si>
    <t xml:space="preserve">✅ Priorité</t>
  </si>
  <si>
    <t xml:space="preserve">CA minimum mensuel à sécuriser dès Juillet 2026 :</t>
  </si>
  <si>
    <t xml:space="preserve">Couvrir loyer + charges fixes pour passer le cap de juillet</t>
  </si>
  <si>
    <t xml:space="preserve">HYPOTHÈSES &amp; GRILLE TARIFAIRE OFFICIELLE 2026</t>
  </si>
  <si>
    <t xml:space="preserve">Source : Grille tarifaire Génie-Bon-définitif.pdf (avril 2026) — tarifs applicables à tous les NOUVEAUX contrats</t>
  </si>
  <si>
    <t xml:space="preserve">🏢 BUREAUX PRIVATIFS (source grille officielle — tarifs HC €/m²/mois)</t>
  </si>
  <si>
    <t xml:space="preserve">Bureau</t>
  </si>
  <si>
    <t xml:space="preserve">Nom</t>
  </si>
  <si>
    <t xml:space="preserve">Étage</t>
  </si>
  <si>
    <t xml:space="preserve">Surface m²</t>
  </si>
  <si>
    <t xml:space="preserve">€/m² Mensuel</t>
  </si>
  <si>
    <t xml:space="preserve">€/m² Bail 1 an</t>
  </si>
  <si>
    <t xml:space="preserve">€/m² Bail 3/6/9</t>
  </si>
  <si>
    <t xml:space="preserve">Loyer Mensuel</t>
  </si>
  <si>
    <t xml:space="preserve">Loyer 1 an</t>
  </si>
  <si>
    <t xml:space="preserve">Loyer 3/6/9</t>
  </si>
  <si>
    <t xml:space="preserve">0-01</t>
  </si>
  <si>
    <t xml:space="preserve">Louise MICHEL</t>
  </si>
  <si>
    <t xml:space="preserve">RDC</t>
  </si>
  <si>
    <t xml:space="preserve">0-03</t>
  </si>
  <si>
    <t xml:space="preserve">Philippe MEIRIEU</t>
  </si>
  <si>
    <t xml:space="preserve">0-04</t>
  </si>
  <si>
    <t xml:space="preserve">Antoine LAVOISIER</t>
  </si>
  <si>
    <t xml:space="preserve">1-07</t>
  </si>
  <si>
    <t xml:space="preserve">Aimée CÉSAIRE</t>
  </si>
  <si>
    <t xml:space="preserve">1er</t>
  </si>
  <si>
    <t xml:space="preserve">1-08</t>
  </si>
  <si>
    <t xml:space="preserve">CONDORCET</t>
  </si>
  <si>
    <t xml:space="preserve">1-09</t>
  </si>
  <si>
    <t xml:space="preserve">Baden POWELL</t>
  </si>
  <si>
    <t xml:space="preserve">1-11</t>
  </si>
  <si>
    <t xml:space="preserve">Célestin FREINET</t>
  </si>
  <si>
    <t xml:space="preserve">-1-14</t>
  </si>
  <si>
    <t xml:space="preserve">Maria MONTESSORI</t>
  </si>
  <si>
    <t xml:space="preserve">Rez-jardin</t>
  </si>
  <si>
    <t xml:space="preserve">TOTAL 100% occ.</t>
  </si>
  <si>
    <t xml:space="preserve">💼 COWORKING / BUREAUX NOMADES (source grille officielle)</t>
  </si>
  <si>
    <t xml:space="preserve">Type</t>
  </si>
  <si>
    <t xml:space="preserve">½ Journée</t>
  </si>
  <si>
    <t xml:space="preserve">Journée</t>
  </si>
  <si>
    <t xml:space="preserve">Semaine</t>
  </si>
  <si>
    <t xml:space="preserve">Mois</t>
  </si>
  <si>
    <t xml:space="preserve">1-13</t>
  </si>
  <si>
    <t xml:space="preserve">ARISTOTE</t>
  </si>
  <si>
    <t xml:space="preserve">Privé</t>
  </si>
  <si>
    <t xml:space="preserve">7 m²</t>
  </si>
  <si>
    <t xml:space="preserve">1-10</t>
  </si>
  <si>
    <t xml:space="preserve">Jean-Jacques ROUSSEAU</t>
  </si>
  <si>
    <t xml:space="preserve">Coworking</t>
  </si>
  <si>
    <t xml:space="preserve">28 m²</t>
  </si>
  <si>
    <t xml:space="preserve">Maria MONTESSORI (PMR)</t>
  </si>
  <si>
    <t xml:space="preserve">12 m²</t>
  </si>
  <si>
    <t xml:space="preserve">🪑 SALLES DE RÉUNION (source grille officielle)</t>
  </si>
  <si>
    <t xml:space="preserve">Salle</t>
  </si>
  <si>
    <t xml:space="preserve">Capacité</t>
  </si>
  <si>
    <t xml:space="preserve">Unité</t>
  </si>
  <si>
    <t xml:space="preserve">Tarif CCFA</t>
  </si>
  <si>
    <t xml:space="preserve">Adhérent Génie</t>
  </si>
  <si>
    <t xml:space="preserve">Asso locale</t>
  </si>
  <si>
    <t xml:space="preserve">Antoine BOURDELLE (0-02)</t>
  </si>
  <si>
    <t xml:space="preserve">40 p</t>
  </si>
  <si>
    <t xml:space="preserve">Heure</t>
  </si>
  <si>
    <t xml:space="preserve">GRATUIT</t>
  </si>
  <si>
    <t xml:space="preserve">½ journée (4h)</t>
  </si>
  <si>
    <t xml:space="preserve">Journée (8h)</t>
  </si>
  <si>
    <t xml:space="preserve">Célestin FREINET (1-11)</t>
  </si>
  <si>
    <t xml:space="preserve">20 p</t>
  </si>
  <si>
    <t xml:space="preserve">Olympe DE GOUGES (1-12)</t>
  </si>
  <si>
    <t xml:space="preserve">Maria MONTESSORI (PMR, -1-14)</t>
  </si>
  <si>
    <t xml:space="preserve">4 p</t>
  </si>
  <si>
    <t xml:space="preserve">➕ SERVICES COMPLÉMENTAIRES &amp; ADHÉSIONS</t>
  </si>
  <si>
    <t xml:space="preserve">Service</t>
  </si>
  <si>
    <t xml:space="preserve">Tarif</t>
  </si>
  <si>
    <t xml:space="preserve">Base</t>
  </si>
  <si>
    <t xml:space="preserve">Accès 24h/7j (badge)</t>
  </si>
  <si>
    <t xml:space="preserve">/ mois</t>
  </si>
  <si>
    <t xml:space="preserve">Supplément hors horaires et jours d'ouverture</t>
  </si>
  <si>
    <t xml:space="preserve">Domiciliation entreprise</t>
  </si>
  <si>
    <t xml:space="preserve">Tarif révisé prévisionnel 30/03/2026</t>
  </si>
  <si>
    <t xml:space="preserve">Location cave</t>
  </si>
  <si>
    <t xml:space="preserve">Option applicable selon disponibilité (ex : OVNI)</t>
  </si>
  <si>
    <t xml:space="preserve">Adhésion particulier modeste</t>
  </si>
  <si>
    <t xml:space="preserve">/ an</t>
  </si>
  <si>
    <t xml:space="preserve">Barème progressif 30 / 45 / 60 / 80 €</t>
  </si>
  <si>
    <t xml:space="preserve">Adhésion particulier standard</t>
  </si>
  <si>
    <t xml:space="preserve">Tarif médian</t>
  </si>
  <si>
    <t xml:space="preserve">Adhésion particulier soutien</t>
  </si>
  <si>
    <t xml:space="preserve">Tarif soutien (soutien à l'association)</t>
  </si>
  <si>
    <t xml:space="preserve">Adhésion jeune (16-30 ans)</t>
  </si>
  <si>
    <t xml:space="preserve">Barème progressif 15 / 25 / 40 €</t>
  </si>
  <si>
    <t xml:space="preserve">Adhésion association loi 1901</t>
  </si>
  <si>
    <t xml:space="preserve">Voix délibérative, éligible CA</t>
  </si>
  <si>
    <t xml:space="preserve">Adhésion entreprise / ESS</t>
  </si>
  <si>
    <t xml:space="preserve">Adhésion collectivité</t>
  </si>
  <si>
    <t xml:space="preserve">convention</t>
  </si>
  <si>
    <t xml:space="preserve">Sur convention — voix consultative</t>
  </si>
  <si>
    <t xml:space="preserve">Charges locatives HC → TCC</t>
  </si>
  <si>
    <t xml:space="preserve">% loyer HC</t>
  </si>
  <si>
    <t xml:space="preserve">Électricité + fibre + eau + ménage + 23% du loyer (voir contrats)</t>
  </si>
  <si>
    <t xml:space="preserve">LOCATAIRES &amp; CONTRATS 2026</t>
  </si>
  <si>
    <t xml:space="preserve">Sources : dossiers "02 - Commercial/Contrats clients en cours" + grille tarifaire officielle</t>
  </si>
  <si>
    <t xml:space="preserve">✅ LOCATAIRES AVEC CONTRAT SIGNÉ</t>
  </si>
  <si>
    <t xml:space="preserve">Type structure</t>
  </si>
  <si>
    <t xml:space="preserve">Date effet</t>
  </si>
  <si>
    <t xml:space="preserve">Loyer HC €/mois</t>
  </si>
  <si>
    <t xml:space="preserve">Charges €/mois</t>
  </si>
  <si>
    <t xml:space="preserve">Options €/mois</t>
  </si>
  <si>
    <t xml:space="preserve">Total TCC €/mois</t>
  </si>
  <si>
    <t xml:space="preserve">OVNI-Graphics (Loic Langloys)</t>
  </si>
  <si>
    <t xml:space="preserve">EURL</t>
  </si>
  <si>
    <t xml:space="preserve">1-09 Baden POWELL</t>
  </si>
  <si>
    <t xml:space="preserve">Bail 1 an (tarif révisé 13€/m²)</t>
  </si>
  <si>
    <t xml:space="preserve">01/04/2026</t>
  </si>
  <si>
    <t xml:space="preserve">Particulier / indép.</t>
  </si>
  <si>
    <t xml:space="preserve">-1-14 Maria MONTESSORI</t>
  </si>
  <si>
    <t xml:space="preserve">Bail 1 an — 1j/semaine</t>
  </si>
  <si>
    <t xml:space="preserve">MOBICOOP (Montauban)</t>
  </si>
  <si>
    <t xml:space="preserve">↳ MOBICOOP : recettes effectives à partir de juillet 2026 uniquement (6 mois × 637,30 € = 3 823,80 €/an)</t>
  </si>
  <si>
    <t xml:space="preserve">TOTAL RECETTES CONTRATS SIGNÉS</t>
  </si>
  <si>
    <t xml:space="preserve">🔄 LOCATAIRES EN COURS / PARTENARIATS</t>
  </si>
  <si>
    <t xml:space="preserve">Antre-Connaissance (Eddy Cherif)</t>
  </si>
  <si>
    <t xml:space="preserve">Association</t>
  </si>
  <si>
    <t xml:space="preserve">Salle de réunion (1h/semaine)</t>
  </si>
  <si>
    <t xml:space="preserve">2026</t>
  </si>
  <si>
    <t xml:space="preserve">FNE — Formation Continue (Fédération)</t>
  </si>
  <si>
    <t xml:space="preserve">TOTAL RECETTES CONVENTIONS (hors MOBICOOP S1)</t>
  </si>
  <si>
    <t xml:space="preserve">★ TOTAL CA LOCATAIRES &amp; CONVENTIONS (annualisé)</t>
  </si>
  <si>
    <t xml:space="preserve">⚠ MOBICOOP comptabilisé sur 6 mois (juillet–décembre 2026) : 510 HC + 117,30 charges + 10 badges = 637,30 €/mois × 6 = 3 823,80 €</t>
  </si>
  <si>
    <t xml:space="preserve">Mensuel (18€/m²)</t>
  </si>
  <si>
    <t xml:space="preserve">1 an (17€/m²)</t>
  </si>
  <si>
    <t xml:space="preserve">3/6/9 (15€/m²)</t>
  </si>
  <si>
    <t xml:space="preserve">Priorité n°1 (RDC accessible)</t>
  </si>
  <si>
    <t xml:space="preserve">1er étage</t>
  </si>
  <si>
    <t xml:space="preserve">Grand bureau 1er</t>
  </si>
  <si>
    <t xml:space="preserve">POTENTIEL MAX (100%)</t>
  </si>
  <si>
    <t xml:space="preserve">CA mensuel HC bureaux si 100% occupés</t>
  </si>
  <si>
    <t xml:space="preserve">REVENUS MENSUELS PRÉVISIONNELS 2026</t>
  </si>
  <si>
    <t xml:space="preserve">Scénario médian · taux occ. bureaux croissant · appui sur contrat OVNI signé + hypothèses révisées 30/03/2026</t>
  </si>
  <si>
    <t xml:space="preserve">🏢 BUREAUX PRIVATIFS (base 8 bureaux × tarif moy. pondéré)</t>
  </si>
  <si>
    <t xml:space="preserve">Ligne</t>
  </si>
  <si>
    <t xml:space="preserve">Jan</t>
  </si>
  <si>
    <t xml:space="preserve">Fév</t>
  </si>
  <si>
    <t xml:space="preserve">Mar</t>
  </si>
  <si>
    <t xml:space="preserve">Avr</t>
  </si>
  <si>
    <t xml:space="preserve">Mai</t>
  </si>
  <si>
    <t xml:space="preserve">Juin</t>
  </si>
  <si>
    <t xml:space="preserve">Juil</t>
  </si>
  <si>
    <t xml:space="preserve">Août</t>
  </si>
  <si>
    <t xml:space="preserve">Sep</t>
  </si>
  <si>
    <t xml:space="preserve">Oct</t>
  </si>
  <si>
    <t xml:space="preserve">Nov</t>
  </si>
  <si>
    <t xml:space="preserve">Déc</t>
  </si>
  <si>
    <t xml:space="preserve">TOTAL</t>
  </si>
  <si>
    <t xml:space="preserve">Taux d'occupation</t>
  </si>
  <si>
    <t xml:space="preserve">CA potentiel bureaux 100% (€/mois)</t>
  </si>
  <si>
    <t xml:space="preserve">▶ CA bureaux privatifs (€)</t>
  </si>
  <si>
    <t xml:space="preserve">+ Charges refacturées (23% loyer)</t>
  </si>
  <si>
    <t xml:space="preserve">KPI · Taux d'occupation moyen</t>
  </si>
  <si>
    <t xml:space="preserve">KPI · Nb bureaux occupés (sur 8)</t>
  </si>
  <si>
    <t xml:space="preserve">📋 RECETTES LOCATAIRES SIGNÉS &amp; CONVENTIONS (TCC — recettes certaines)</t>
  </si>
  <si>
    <t xml:space="preserve">OVNI-Graphics (Baden Powell — bail 1 an, dès avr. 2026)</t>
  </si>
  <si>
    <t xml:space="preserve">Nadine DAUGE (Montessori — 1j/sem, bail 1 an)</t>
  </si>
  <si>
    <t xml:space="preserve">FNE — Bureau Philippe Meirieu (convention partenariat 2026)</t>
  </si>
  <si>
    <t xml:space="preserve">Antre-Connaissance — convention salle (1h/semaine)</t>
  </si>
  <si>
    <t xml:space="preserve">MOBICOOP — Césaire + Condorcet (bail 3/6/9, 15€/m² — dès 01/07/2026)</t>
  </si>
  <si>
    <t xml:space="preserve">↳ MOBICOOP : 510€ HC + 117,30€ charges + 10€ badges × 6 mois = 3 823,80€/an</t>
  </si>
  <si>
    <t xml:space="preserve">📌 REPÈRE — Total locataires &amp; conventions TCC (à ne pas sommer au CA : déjà intégré via taux occ.)</t>
  </si>
  <si>
    <t xml:space="preserve">💼 COWORKING — POSTES NOMADES &amp; ABONNEMENTS</t>
  </si>
  <si>
    <t xml:space="preserve">Passages journée (nb)</t>
  </si>
  <si>
    <t xml:space="preserve">Tarif journée coworking (€)</t>
  </si>
  <si>
    <t xml:space="preserve">▶ CA coworking journée (€)</t>
  </si>
  <si>
    <t xml:space="preserve">Abonnements mensuels actifs (nb)</t>
  </si>
  <si>
    <t xml:space="preserve">Tarif abonnement mensuel (€)</t>
  </si>
  <si>
    <t xml:space="preserve">▶ CA abonnements coworking (€)</t>
  </si>
  <si>
    <t xml:space="preserve">🪑 SALLES DE RÉUNION (tarif moyen pondéré ~ 115€ / réservation)</t>
  </si>
  <si>
    <t xml:space="preserve">Nb réservations / mois</t>
  </si>
  <si>
    <t xml:space="preserve">Tarif moyen / résa (€)</t>
  </si>
  <si>
    <t xml:space="preserve">▶ CA salles de réunion (€)</t>
  </si>
  <si>
    <t xml:space="preserve">➕ SERVICES COMPLÉMENTAIRES (domiciliation, badges, adhésions)</t>
  </si>
  <si>
    <t xml:space="preserve">Domiciliations actives (nb)</t>
  </si>
  <si>
    <t xml:space="preserve">▶ CA domiciliation (45 €/mois)</t>
  </si>
  <si>
    <t xml:space="preserve">Badges 24/7 actifs (nb)</t>
  </si>
  <si>
    <t xml:space="preserve">▶ CA badges (5 €/mois)</t>
  </si>
  <si>
    <t xml:space="preserve">Adhésions encaissées / mois (€)</t>
  </si>
  <si>
    <t xml:space="preserve">▶▶▶ TOTAL CA HT MENSUEL</t>
  </si>
  <si>
    <t xml:space="preserve">CA TOTAL HT</t>
  </si>
  <si>
    <t xml:space="preserve">⚠ Note : les recettes locataires (OVNI, Nadine, FNE, MOBICOOP) sont comprises dans le CA bureaux (ligne 8) via le taux d'occupation. La ligne 📌 ci-dessus est un repère de contrôle.</t>
  </si>
  <si>
    <t xml:space="preserve">CHARGES D'EXPLOITATION 2026 — DÉTAIL MENSUEL</t>
  </si>
  <si>
    <t xml:space="preserve">Sources : Bail IMMO BEAUSOLEIL (1950€/mois + charges 4580€/an) · Hiscox (544,84€/an) · Budget Prévisionnel Trésorerie</t>
  </si>
  <si>
    <t xml:space="preserve">🏠 LOYER DU BAIL COMMERCIAL (IMMO BEAUSOLEIL — Jean-Jacques MAUROU)</t>
  </si>
  <si>
    <t xml:space="preserve">💧 CHARGES RÉCUPÉRABLES VERSÉES AU BAILLEUR</t>
  </si>
  <si>
    <t xml:space="preserve">Eau (300 €/an = 25 €/mois)</t>
  </si>
  <si>
    <t xml:space="preserve">Électricité communs (180 €/an = 15 €/mois)</t>
  </si>
  <si>
    <t xml:space="preserve">Taxe foncière 50% (4 200 €/an prov. 350 €/mois)</t>
  </si>
  <si>
    <t xml:space="preserve">⚡ FLUIDES &amp; SERVICES PROPRES GÉNIE</t>
  </si>
  <si>
    <t xml:space="preserve">Électricité consommation propre</t>
  </si>
  <si>
    <t xml:space="preserve">Télécom / Fibre pro</t>
  </si>
  <si>
    <t xml:space="preserve">Ménage / entretien (dès février)</t>
  </si>
  <si>
    <t xml:space="preserve">🛡 ASSURANCES (Contrat Hiscox n° HSXIN320075627B)</t>
  </si>
  <si>
    <t xml:space="preserve">Assurance Hiscox (prélèvement mensuel)</t>
  </si>
  <si>
    <t xml:space="preserve">🎪 FONCTIONNEMENT, COMMUNICATION &amp; ANIMATIONS</t>
  </si>
  <si>
    <t xml:space="preserve">Comptabilité / expert-comptable (dès juillet)</t>
  </si>
  <si>
    <t xml:space="preserve">Communication / marketing</t>
  </si>
  <si>
    <t xml:space="preserve">Animations (4/mois — voir onglet dédié)</t>
  </si>
  <si>
    <t xml:space="preserve">Fournitures / consommables</t>
  </si>
  <si>
    <t xml:space="preserve">Divers / imprévus (5%)</t>
  </si>
  <si>
    <t xml:space="preserve">▶▶▶ TOTAL CHARGES MENSUELLES</t>
  </si>
  <si>
    <t xml:space="preserve">TOTAL CHARGES</t>
  </si>
  <si>
    <t xml:space="preserve">PROGRAMMATION &amp; BUDGET DES ANIMATIONS 2026</t>
  </si>
  <si>
    <t xml:space="preserve">Source : genie_animations_v2.docx + genie_suivi_animations.xlsx · Rythme cible : 1 animation par semaine (4/mois)</t>
  </si>
  <si>
    <t xml:space="preserve">📋 CATALOGUE DES FORMATS D'ANIMATION</t>
  </si>
  <si>
    <t xml:space="preserve">Format</t>
  </si>
  <si>
    <t xml:space="preserve">Fréquence cible</t>
  </si>
  <si>
    <t xml:space="preserve">Jauge</t>
  </si>
  <si>
    <t xml:space="preserve">Durée</t>
  </si>
  <si>
    <t xml:space="preserve">Budget unitaire</t>
  </si>
  <si>
    <t xml:space="preserve">Levier d'optimisation</t>
  </si>
  <si>
    <t xml:space="preserve">☕ Petit Déjeuner Entrepreneurs</t>
  </si>
  <si>
    <t xml:space="preserve">Hebdo S1</t>
  </si>
  <si>
    <t xml:space="preserve">10-20</t>
  </si>
  <si>
    <t xml:space="preserve">1h</t>
  </si>
  <si>
    <t xml:space="preserve">Partenariat boulangerie locale → -20 €</t>
  </si>
  <si>
    <t xml:space="preserve">🍹 Afterwork décontracté</t>
  </si>
  <si>
    <t xml:space="preserve">Mensuel S3</t>
  </si>
  <si>
    <t xml:space="preserve">15-30</t>
  </si>
  <si>
    <t xml:space="preserve">2h</t>
  </si>
  <si>
    <t xml:space="preserve">Modèle participatif (apports) → budget 20 €</t>
  </si>
  <si>
    <t xml:space="preserve">🤖 Atelier IA en entreprise</t>
  </si>
  <si>
    <t xml:space="preserve">Trimestriel</t>
  </si>
  <si>
    <t xml:space="preserve">12-25</t>
  </si>
  <si>
    <t xml:space="preserve">Samir anime en interne (CCFA) → 25 €</t>
  </si>
  <si>
    <t xml:space="preserve">₿ Initiation Cryptomonnaie</t>
  </si>
  <si>
    <t xml:space="preserve">1h15</t>
  </si>
  <si>
    <t xml:space="preserve">Intervenant vulgarisateur externe</t>
  </si>
  <si>
    <t xml:space="preserve">📍 Atelier Business Local</t>
  </si>
  <si>
    <t xml:space="preserve">Bimestriel S4</t>
  </si>
  <si>
    <t xml:space="preserve">1h30</t>
  </si>
  <si>
    <t xml:space="preserve">Témoin invité = ambassadeur Génie</t>
  </si>
  <si>
    <t xml:space="preserve">🌿 Bien-être indépendant</t>
  </si>
  <si>
    <t xml:space="preserve">8-15</t>
  </si>
  <si>
    <t xml:space="preserve">Déjeuner participatif — facilitateur bénévole</t>
  </si>
  <si>
    <t xml:space="preserve">📅 BUDGET MENSUEL DES ANIMATIONS (rythme 4/mois)</t>
  </si>
  <si>
    <t xml:space="preserve">Budget prévu / semaine × 4</t>
  </si>
  <si>
    <t xml:space="preserve">Commentaire mois</t>
  </si>
  <si>
    <t xml:space="preserve">Démarrage léger</t>
  </si>
  <si>
    <t xml:space="preserve">Pause estivale</t>
  </si>
  <si>
    <t xml:space="preserve">Reprise</t>
  </si>
  <si>
    <t xml:space="preserve">TOTAL Animations mensuel</t>
  </si>
  <si>
    <t xml:space="preserve">🗓 PLANNING-TYPE MENSUEL</t>
  </si>
  <si>
    <t xml:space="preserve">S1 Mardi matin 08h30-09h30</t>
  </si>
  <si>
    <t xml:space="preserve">☕ Petit Déjeuner des Entrepreneurs</t>
  </si>
  <si>
    <t xml:space="preserve">S2 Jeudi soir 18h30-19h30</t>
  </si>
  <si>
    <t xml:space="preserve">🤖 Atelier IA / ₿ Atelier Crypto (alternance)</t>
  </si>
  <si>
    <t xml:space="preserve">S3 Jeudi soir 19h00-21h00</t>
  </si>
  <si>
    <t xml:space="preserve">S4 Mardi après-midi 14h00-15h30</t>
  </si>
  <si>
    <t xml:space="preserve">📍 Atelier Business Local / 🌿 Bien-être</t>
  </si>
  <si>
    <t xml:space="preserve">COMPTE DE RÉSULTAT PRÉVISIONNEL 2026</t>
  </si>
  <si>
    <t xml:space="preserve">Vue consolidée revenus — charges = résultat net mensuel · seuil de rentabilité identifié</t>
  </si>
  <si>
    <t xml:space="preserve">▶ REVENUS (liens vers onglet 💰 Revenus)</t>
  </si>
  <si>
    <t xml:space="preserve">Bureaux privatifs (loyer HC)</t>
  </si>
  <si>
    <t xml:space="preserve">Charges refacturées locataires</t>
  </si>
  <si>
    <t xml:space="preserve">Coworking — journée</t>
  </si>
  <si>
    <t xml:space="preserve">Coworking — abonnements</t>
  </si>
  <si>
    <t xml:space="preserve">Salles de réunion</t>
  </si>
  <si>
    <t xml:space="preserve">Domiciliation</t>
  </si>
  <si>
    <t xml:space="preserve">Badges 24/7</t>
  </si>
  <si>
    <t xml:space="preserve">Adhésions association</t>
  </si>
  <si>
    <t xml:space="preserve">TOTAL CA HT</t>
  </si>
  <si>
    <t xml:space="preserve">▶ CONTRÔLE CA vs onglet Revenus</t>
  </si>
  <si>
    <t xml:space="preserve">CA TOTAL (cellule de référence synthèse)</t>
  </si>
  <si>
    <t xml:space="preserve">▶ CHARGES (liens vers onglet 💸 Charges)</t>
  </si>
  <si>
    <t xml:space="preserve">Loyer IMMO Beausoleil</t>
  </si>
  <si>
    <t xml:space="preserve">Eau (provision bailleur)</t>
  </si>
  <si>
    <t xml:space="preserve">Électricité communs (bailleur)</t>
  </si>
  <si>
    <t xml:space="preserve">Taxe foncière (provision)</t>
  </si>
  <si>
    <t xml:space="preserve">Électricité propre Génie</t>
  </si>
  <si>
    <t xml:space="preserve">Télécom / fibre</t>
  </si>
  <si>
    <t xml:space="preserve">Ménage / entretien</t>
  </si>
  <si>
    <t xml:space="preserve">Assurance Hiscox</t>
  </si>
  <si>
    <t xml:space="preserve">Expert-comptable</t>
  </si>
  <si>
    <t xml:space="preserve">TOTAL CHARGES (réf synthèse)</t>
  </si>
  <si>
    <t xml:space="preserve">★ RÉSULTAT NET MENSUEL</t>
  </si>
  <si>
    <t xml:space="preserve">⚖ SEUIL DE RENTABILITÉ mensuel (charges fixes hors anim/comm)</t>
  </si>
  <si>
    <t xml:space="preserve">→ CA mensuel minimum à atteindre pour équilibrer les charges (juillet à décembre)</t>
  </si>
  <si>
    <t xml:space="preserve">TRÉSORERIE PRÉVISIONNELLE 2026</t>
  </si>
  <si>
    <t xml:space="preserve">Flux de trésorerie cumulé · apport initial + avance CCFA · Alerte si solde &lt; seuil sécurité</t>
  </si>
  <si>
    <t xml:space="preserve">💰 FLUX DE TRÉSORERIE MENSUEL</t>
  </si>
  <si>
    <t xml:space="preserve">Trésorerie début de mois</t>
  </si>
  <si>
    <t xml:space="preserve">+ Encaissements CA du mois</t>
  </si>
  <si>
    <t xml:space="preserve">+ Avance CCFA (convention à formaliser, max 10k€)</t>
  </si>
  <si>
    <t xml:space="preserve">+ Apport / subvention (à préciser)</t>
  </si>
  <si>
    <t xml:space="preserve">– Décaissements charges du mois</t>
  </si>
  <si>
    <t xml:space="preserve">FLUX NET DU MOIS</t>
  </si>
  <si>
    <t xml:space="preserve">TRÉSORERIE FIN DE MOIS (solde cumulé)</t>
  </si>
  <si>
    <t xml:space="preserve">Mois le + bas de l'année :</t>
  </si>
  <si>
    <t xml:space="preserve">Solde minimum atteint</t>
  </si>
  <si>
    <t xml:space="preserve">Mois concerné :</t>
  </si>
  <si>
    <t xml:space="preserve">SCÉNARIOS DE REMPLISSAGE 2026 — BAS / MÉDIAN / HAUT</t>
  </si>
  <si>
    <t xml:space="preserve">Modélisation à 3 hypothèses · le scénario médian correspond à l'onglet 💰 Revenus</t>
  </si>
  <si>
    <t xml:space="preserve">⚙️ HYPOTHÈSES PAR SCÉNARIO (annuelles moyennes)</t>
  </si>
  <si>
    <t xml:space="preserve">Paramètre</t>
  </si>
  <si>
    <t xml:space="preserve">🔴 BAS</t>
  </si>
  <si>
    <t xml:space="preserve">🟡 MÉDIAN</t>
  </si>
  <si>
    <t xml:space="preserve">🟢 HAUT</t>
  </si>
  <si>
    <t xml:space="preserve">Taux d'occupation bureaux privatifs</t>
  </si>
  <si>
    <t xml:space="preserve">(moyenne 2026)</t>
  </si>
  <si>
    <t xml:space="preserve">Nb bureaux occupés (sur 8)</t>
  </si>
  <si>
    <t xml:space="preserve">Coworking — abonnements actifs / mois</t>
  </si>
  <si>
    <t xml:space="preserve">Coworking — passages journée / mois</t>
  </si>
  <si>
    <t xml:space="preserve">Salles — réservations / mois</t>
  </si>
  <si>
    <t xml:space="preserve">Domiciliations actives</t>
  </si>
  <si>
    <t xml:space="preserve">Badges 24/7 actifs</t>
  </si>
  <si>
    <t xml:space="preserve">Adhésions / an (moy.)</t>
  </si>
  <si>
    <t xml:space="preserve">💰 CHIFFRE D'AFFAIRES ANNUEL 2026 PAR SCÉNARIO</t>
  </si>
  <si>
    <t xml:space="preserve">Poste</t>
  </si>
  <si>
    <t xml:space="preserve">BAS</t>
  </si>
  <si>
    <t xml:space="preserve">MÉDIAN</t>
  </si>
  <si>
    <t xml:space="preserve">HAUT</t>
  </si>
  <si>
    <t xml:space="preserve">CA bureaux privatifs</t>
  </si>
  <si>
    <t xml:space="preserve">Charges refacturées (23%)</t>
  </si>
  <si>
    <t xml:space="preserve">Coworking — journées</t>
  </si>
  <si>
    <t xml:space="preserve">Adhésions (tarif moyen 55 €)</t>
  </si>
  <si>
    <t xml:space="preserve">CA TOTAL ANNUEL</t>
  </si>
  <si>
    <t xml:space="preserve">CHARGES TOTALES</t>
  </si>
  <si>
    <t xml:space="preserve">★ RÉSULTAT NET 2026</t>
  </si>
  <si>
    <t xml:space="preserve">🧭 LECTURE OPÉRATIONNELLE DES SCÉNARIOS</t>
  </si>
  <si>
    <t xml:space="preserve">Si rien ne démarre vraiment (2 bureaux sur 8, peu de cowork, 3 salles/mois)</t>
  </si>
  <si>
    <t xml:space="preserve">Déficit &gt; 8 k€ — MOBILISER subventions + avance CCFA 10 k€ + ralentir les investissements</t>
  </si>
  <si>
    <t xml:space="preserve">Rythme réaliste (3-4 bureaux sur 8, 5 abonnements cowork, 6 salles/mois)</t>
  </si>
  <si>
    <t xml:space="preserve">Résultat proche équilibre — tenir le CAP sur la prospection bureau avant juillet</t>
  </si>
  <si>
    <t xml:space="preserve">Montée en puissance forte (5-6 bureaux sur 8, 10 abonnements, 10 salles/mois)</t>
  </si>
  <si>
    <t xml:space="preserve">Excédent à réinvestir (équipement, salarié à temps partiel, fonds de réserve)</t>
  </si>
  <si>
    <t xml:space="preserve">⚖️ POINT MORT — CA MENSUEL NÉCESSAIRE POUR ÉQUILIBRER LES CHARGES</t>
  </si>
  <si>
    <t xml:space="preserve">Charges fixes moyennes mensuelles (juil-déc)</t>
  </si>
  <si>
    <t xml:space="preserve">→ Équivalent ~ nb de bureaux occupés (tarif 1 an, moy. 306 €/mois)</t>
  </si>
  <si>
    <t xml:space="preserve">→ Ou ~ nb d'abonnements cowork (180 €/mois)</t>
  </si>
  <si>
    <t xml:space="preserve">→ Ou combinaison : 3 bureaux + 3 abo cowork + 5 salles + 4 domiciliations</t>
  </si>
  <si>
    <t xml:space="preserve">PROJECTION 2027 — ANNÉE 2 DU TIERS-LIEU</t>
  </si>
  <si>
    <t xml:space="preserve">Hypothèse : maturité commerciale + levée d'une subvention · révision annuelle loyer (ILC ~ +3%)</t>
  </si>
  <si>
    <t xml:space="preserve">📊 PROJECTION 2027 vs RÉALISÉ / PRÉVU 2026</t>
  </si>
  <si>
    <t xml:space="preserve">Hypothèse 2027</t>
  </si>
  <si>
    <t xml:space="preserve">2026 (prév.)</t>
  </si>
  <si>
    <t xml:space="preserve">2027 (proj.)</t>
  </si>
  <si>
    <t xml:space="preserve">Évolution</t>
  </si>
  <si>
    <t xml:space="preserve">▶ REVENUS</t>
  </si>
  <si>
    <t xml:space="preserve">Taux occ. 0.60 (an 2)</t>
  </si>
  <si>
    <t xml:space="preserve">Objectif : 5 bureaux sur 8 occupés en moyenne annuelle</t>
  </si>
  <si>
    <t xml:space="preserve">Idem montée en charge</t>
  </si>
  <si>
    <t xml:space="preserve">Proportionnel au loyer HC</t>
  </si>
  <si>
    <t xml:space="preserve">Doublement passages</t>
  </si>
  <si>
    <t xml:space="preserve">Effet bouche-à-oreille après an 1</t>
  </si>
  <si>
    <t xml:space="preserve">Doublement abonnés</t>
  </si>
  <si>
    <t xml:space="preserve">Objectif 10 abonnés actifs</t>
  </si>
  <si>
    <t xml:space="preserve">+50% fréquentation</t>
  </si>
  <si>
    <t xml:space="preserve">Programmation renforcée + partenariats</t>
  </si>
  <si>
    <t xml:space="preserve">Doublement</t>
  </si>
  <si>
    <t xml:space="preserve">Cible : 8 entreprises domiciliées</t>
  </si>
  <si>
    <t xml:space="preserve">+50%</t>
  </si>
  <si>
    <t xml:space="preserve">Adhésions</t>
  </si>
  <si>
    <t xml:space="preserve">+30% membres</t>
  </si>
  <si>
    <t xml:space="preserve">Conversion des utilisateurs ponctuels</t>
  </si>
  <si>
    <t xml:space="preserve">Subvention (FDVA / Région / DLA)</t>
  </si>
  <si>
    <t xml:space="preserve">Dépôt dossier 2026</t>
  </si>
  <si>
    <t xml:space="preserve">Objectif : 5 k€ via FDVA ou aide régionale Tiers-Lieux</t>
  </si>
  <si>
    <t xml:space="preserve">TOTAL CA 2027</t>
  </si>
  <si>
    <t xml:space="preserve">▶ CHARGES 2027</t>
  </si>
  <si>
    <t xml:space="preserve">Loyer annuel (12 × 1 950 €, plus de remise)</t>
  </si>
  <si>
    <t xml:space="preserve">Plein tarif 12 mois</t>
  </si>
  <si>
    <t xml:space="preserve">Fin de la remise du 1er semestre 2026</t>
  </si>
  <si>
    <t xml:space="preserve">Charges récupérables (eau + élec + TF)</t>
  </si>
  <si>
    <t xml:space="preserve">Idem bail</t>
  </si>
  <si>
    <t xml:space="preserve">Stables selon bail</t>
  </si>
  <si>
    <t xml:space="preserve">Fluides &amp; services propres</t>
  </si>
  <si>
    <t xml:space="preserve">Consommation stable</t>
  </si>
  <si>
    <t xml:space="preserve">Indexation énergie ~+2%</t>
  </si>
  <si>
    <t xml:space="preserve">Reconduction contrat</t>
  </si>
  <si>
    <t xml:space="preserve">Indexation annuelle ~+3%</t>
  </si>
  <si>
    <t xml:space="preserve">12 mois vs 6 mois en 2026</t>
  </si>
  <si>
    <t xml:space="preserve">Année pleine</t>
  </si>
  <si>
    <t xml:space="preserve">Baisse après lancement</t>
  </si>
  <si>
    <t xml:space="preserve">Moins de campagnes de lancement</t>
  </si>
  <si>
    <t xml:space="preserve">Animations</t>
  </si>
  <si>
    <t xml:space="preserve">Rythme stable</t>
  </si>
  <si>
    <t xml:space="preserve">Programmation stabilisée</t>
  </si>
  <si>
    <t xml:space="preserve">Fournitures</t>
  </si>
  <si>
    <t xml:space="preserve">Idem</t>
  </si>
  <si>
    <t xml:space="preserve">Volume usagers en hausse</t>
  </si>
  <si>
    <t xml:space="preserve">Divers / imprévus</t>
  </si>
  <si>
    <t xml:space="preserve">+5% prudentiel</t>
  </si>
  <si>
    <t xml:space="preserve">TOTAL CHARGES 2027</t>
  </si>
  <si>
    <t xml:space="preserve">★ RÉSULTAT NET 2027</t>
  </si>
  <si>
    <t xml:space="preserve">🎯 TRAJECTOIRE À 3 ANS — VISION STRATÉGIQUE</t>
  </si>
  <si>
    <t xml:space="preserve">Période</t>
  </si>
  <si>
    <t xml:space="preserve">Phase</t>
  </si>
  <si>
    <t xml:space="preserve">Hypothèse clé</t>
  </si>
  <si>
    <t xml:space="preserve">CA HT</t>
  </si>
  <si>
    <t xml:space="preserve">Charges</t>
  </si>
  <si>
    <t xml:space="preserve">An 1 — 2026</t>
  </si>
  <si>
    <t xml:space="preserve">Lancement</t>
  </si>
  <si>
    <t xml:space="preserve">Taux occ. 36%</t>
  </si>
  <si>
    <t xml:space="preserve">An 2 — 2027</t>
  </si>
  <si>
    <t xml:space="preserve">Consolidation</t>
  </si>
  <si>
    <t xml:space="preserve">Taux occ. 60%</t>
  </si>
  <si>
    <t xml:space="preserve">An 3 — 2028</t>
  </si>
  <si>
    <t xml:space="preserve">Maturité</t>
  </si>
  <si>
    <t xml:space="preserve">Taux occ. 75%</t>
  </si>
  <si>
    <t xml:space="preserve">SOURCES, HYPOTHÈSES &amp; MODE D'EMPLOI</t>
  </si>
  <si>
    <t xml:space="preserve">Traçabilité complète des données utilisées dans ce budget · Mise à jour 20/04/2026</t>
  </si>
  <si>
    <t xml:space="preserve">🎨 LÉGENDE DES COULEURS</t>
  </si>
  <si>
    <t xml:space="preserve">Texte BLEU sur fond JAUNE PÂLE</t>
  </si>
  <si>
    <t xml:space="preserve">Saisie manuelle / valeur modifiable par vous</t>
  </si>
  <si>
    <t xml:space="preserve">Texte VERT</t>
  </si>
  <si>
    <t xml:space="preserve">Lien entre onglets du même classeur — ne pas modifier manuellement</t>
  </si>
  <si>
    <t xml:space="preserve">Texte NOIR</t>
  </si>
  <si>
    <t xml:space="preserve">Formule de calcul automatique</t>
  </si>
  <si>
    <t xml:space="preserve">Fond JAUNE VIF</t>
  </si>
  <si>
    <t xml:space="preserve">Cellule stratégique à surveiller</t>
  </si>
  <si>
    <t xml:space="preserve">Fond GRIS CLAIR</t>
  </si>
  <si>
    <t xml:space="preserve">Total / synthèse automatique</t>
  </si>
  <si>
    <t xml:space="preserve">Fond ORANGE/SAUMON</t>
  </si>
  <si>
    <t xml:space="preserve">Résultat net ou indicateur clé</t>
  </si>
  <si>
    <t xml:space="preserve">📂 SOURCES DOCUMENTAIRES (fichiers du dossier GENIE)</t>
  </si>
  <si>
    <t xml:space="preserve">Onglet</t>
  </si>
  <si>
    <t xml:space="preserve">Source</t>
  </si>
  <si>
    <t xml:space="preserve">Date</t>
  </si>
  <si>
    <t xml:space="preserve">Usage</t>
  </si>
  <si>
    <t xml:space="preserve">⚙️ Hypothèses</t>
  </si>
  <si>
    <t xml:space="preserve">Grille tarifaire Génie-Bon-définitif.pdf (racine GENIE)</t>
  </si>
  <si>
    <t xml:space="preserve">Avril 2026</t>
  </si>
  <si>
    <t xml:space="preserve">Tarifs officiels 2026 (bureaux, cowork, salles, services)</t>
  </si>
  <si>
    <t xml:space="preserve">Fiche_Adhesion_GENIE_2026_bon-der.docx (racine GENIE)</t>
  </si>
  <si>
    <t xml:space="preserve">Barèmes adhésion (particulier, asso, entreprise)</t>
  </si>
  <si>
    <t xml:space="preserve">👥 Locataires</t>
  </si>
  <si>
    <t xml:space="preserve">Contrat_Bureau_Privatif_Genie-OVNI.docx</t>
  </si>
  <si>
    <t xml:space="preserve">18/03/2026</t>
  </si>
  <si>
    <t xml:space="preserve">Locataire signé : OVNI-Graphics (Bureau 1-09)</t>
  </si>
  <si>
    <t xml:space="preserve">02 - Commercial/Contrats clients en cours/antre-connaissance/</t>
  </si>
  <si>
    <t xml:space="preserve">2025-2026</t>
  </si>
  <si>
    <t xml:space="preserve">Dossier en constitution</t>
  </si>
  <si>
    <t xml:space="preserve">02 - Commercial/Contrats clients en cours/FNE/</t>
  </si>
  <si>
    <t xml:space="preserve">Convention de partenariat</t>
  </si>
  <si>
    <t xml:space="preserve">💸 Charges</t>
  </si>
  <si>
    <t xml:space="preserve">Bail IMMO BEAUSOLEIL-Samir CHIKHI.pdf</t>
  </si>
  <si>
    <t xml:space="preserve">Loyer 1 950 €/mois (remise -1 700 €/mois de janv à juin)</t>
  </si>
  <si>
    <t xml:space="preserve">Charges récupérables : eau 300 €/an + élec communs 180 €/an + TF 4 200 €/an</t>
  </si>
  <si>
    <t xml:space="preserve">Hiscox - Appel de prime.pdf</t>
  </si>
  <si>
    <t xml:space="preserve">07/01/2026</t>
  </si>
  <si>
    <t xml:space="preserve">Assurance Pro by Hiscox : 544,84 €/an</t>
  </si>
  <si>
    <t xml:space="preserve">🎪 Animations</t>
  </si>
  <si>
    <t xml:space="preserve">genie_animations_v2.docx</t>
  </si>
  <si>
    <t xml:space="preserve">Catalogue des formats + budgets unitaires</t>
  </si>
  <si>
    <t xml:space="preserve">genie_suivi_animations.xlsx</t>
  </si>
  <si>
    <t xml:space="preserve">Planning opérationnel par semaine</t>
  </si>
  <si>
    <t xml:space="preserve">💰 Revenus</t>
  </si>
  <si>
    <t xml:space="preserve">Previsionnel_Revise_Genie_An1-30-03-26.xlsx</t>
  </si>
  <si>
    <t xml:space="preserve">30/03/2026</t>
  </si>
  <si>
    <t xml:space="preserve">Hypothèses de taux d'occupation et tarifs révisés</t>
  </si>
  <si>
    <t xml:space="preserve">Budget_Prévisionnel_(Trésorerie)_-_Projet_Génie.docx</t>
  </si>
  <si>
    <t xml:space="preserve">Structure P&amp;L et tableau de trésorerie</t>
  </si>
  <si>
    <t xml:space="preserve">💧 Trésorerie</t>
  </si>
  <si>
    <t xml:space="preserve">Avance CCFA 8 000 € + trésorerie initiale 500 €</t>
  </si>
  <si>
    <t xml:space="preserve">⚠ HYPOTHÈSES À ACTUALISER RÉGULIÈREMENT</t>
  </si>
  <si>
    <t xml:space="preserve">Hypothèse</t>
  </si>
  <si>
    <t xml:space="preserve">Localisation</t>
  </si>
  <si>
    <t xml:space="preserve">Règle de mise à jour</t>
  </si>
  <si>
    <t xml:space="preserve">Taux d'occupation bureaux</t>
  </si>
  <si>
    <t xml:space="preserve">💰 Revenus lignes 6</t>
  </si>
  <si>
    <t xml:space="preserve">Mettre à jour chaque fin de mois avec le nb réel de bureaux loués</t>
  </si>
  <si>
    <t xml:space="preserve">Tarif horaire salles</t>
  </si>
  <si>
    <t xml:space="preserve">⚙️ Hypothèses lignes 25-36</t>
  </si>
  <si>
    <t xml:space="preserve">Vérifier l'alignement avec la grille tarifaire définitive après chaque modif</t>
  </si>
  <si>
    <t xml:space="preserve">Charges bailleur</t>
  </si>
  <si>
    <t xml:space="preserve">💸 Charges lignes 10-12</t>
  </si>
  <si>
    <t xml:space="preserve">Régulariser avec le bailleur après appels de TF (octobre) et de charges (décembre)</t>
  </si>
  <si>
    <t xml:space="preserve">Budget animations</t>
  </si>
  <si>
    <t xml:space="preserve">🎪 Animations ligne 16</t>
  </si>
  <si>
    <t xml:space="preserve">Ajuster selon le partenariat boulangerie et l'implication des intervenants internes</t>
  </si>
  <si>
    <t xml:space="preserve">Avance CCFA</t>
  </si>
  <si>
    <t xml:space="preserve">💧 Trésorerie ligne 8</t>
  </si>
  <si>
    <t xml:space="preserve">Formaliser la convention CCFA → Génie (max 10 000 € — taux légal 5,07%)</t>
  </si>
  <si>
    <t xml:space="preserve">🧭 MODE D'EMPLOI HEBDOMADAIRE &amp; MENSUEL</t>
  </si>
  <si>
    <t xml:space="preserve">🗓 Chaque lundi (30 min)</t>
  </si>
  <si>
    <t xml:space="preserve">Mettre à jour le nombre de réservations salles + passages cowork de la semaine passée dans l'onglet 💰 Revenus</t>
  </si>
  <si>
    <t xml:space="preserve">🗓 Le 1er de chaque mois</t>
  </si>
  <si>
    <t xml:space="preserve">Saisir le CA encaissé, les charges réelles payées et le solde bancaire réel dans les onglets correspondants</t>
  </si>
  <si>
    <t xml:space="preserve">🗓 Tous les 3 mois</t>
  </si>
  <si>
    <t xml:space="preserve">Vérifier les écarts entre prévisionnel et réalisé — ajuster les taux d'occupation prévisionnels si nécessaire</t>
  </si>
  <si>
    <t xml:space="preserve">🗓 En octobre</t>
  </si>
  <si>
    <t xml:space="preserve">Activer la ligne TF (4 200 €) — s'assurer que la provision mensuelle de 350 € est bien constituée</t>
  </si>
  <si>
    <t xml:space="preserve">🗓 En décembre</t>
  </si>
  <si>
    <t xml:space="preserve">Régularisation annuelle des charges avec le bailleur : eau (~300 €) + élec communs (~180 €)</t>
  </si>
  <si>
    <t xml:space="preserve">🗓 En janvier 2027</t>
  </si>
  <si>
    <t xml:space="preserve">Appliquer l'indexation ILC du loyer (bail commercial — clause d'échelle mobile)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</si>
</sst>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&quot; €&quot;;[RED]\(#,##0&quot; €)&quot;;\-"/>
    <numFmt numFmtId="166" formatCode="0.0%;[RED]\-0.0%;\-"/>
    <numFmt numFmtId="167" formatCode="0.0"/>
    <numFmt numFmtId="168" formatCode="#,##0.00&quot; €&quot;;[RED]\(#,##0.00&quot; €)&quot;;\-"/>
    <numFmt numFmtId="169" formatCode="#,##0;[RED]\-#,##0;\-"/>
    <numFmt numFmtId="170" formatCode="0&quot; m²&quot;"/>
    <numFmt numFmtId="171" formatCode="0.0%"/>
    <numFmt numFmtId="172" formatCode="#,##0.0;[RED]\-#,##0.0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54F0B"/>
      <name val="Cambria"/>
      <family val="0"/>
      <charset val="1"/>
    </font>
    <font>
      <b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85FA5"/>
      <name val="Cambria"/>
      <family val="0"/>
      <charset val="1"/>
    </font>
    <font>
      <b val="true"/>
      <sz val="10"/>
      <color rgb="FFFFFF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4E78"/>
        <bgColor rgb="FF185FA5"/>
      </patternFill>
    </fill>
    <fill>
      <patternFill patternType="solid">
        <fgColor rgb="FF2E75B6"/>
        <bgColor rgb="FF185FA5"/>
      </patternFill>
    </fill>
    <fill>
      <patternFill patternType="solid">
        <fgColor rgb="FFE7E6E6"/>
        <bgColor rgb="FFE4DFEC"/>
      </patternFill>
    </fill>
    <fill>
      <patternFill patternType="solid">
        <fgColor rgb="FFD9E1F2"/>
        <bgColor rgb="FFE4DFEC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BE4D5"/>
      </patternFill>
    </fill>
    <fill>
      <patternFill patternType="solid">
        <fgColor rgb="FFC00000"/>
        <bgColor rgb="FF800000"/>
      </patternFill>
    </fill>
    <fill>
      <patternFill patternType="solid">
        <fgColor rgb="FFFBE4D5"/>
        <bgColor rgb="FFFCE4D6"/>
      </patternFill>
    </fill>
    <fill>
      <patternFill patternType="solid">
        <fgColor rgb="FFBF8F00"/>
        <bgColor rgb="FFFF6600"/>
      </patternFill>
    </fill>
    <fill>
      <patternFill patternType="solid">
        <fgColor rgb="FF375623"/>
        <bgColor rgb="FF595959"/>
      </patternFill>
    </fill>
    <fill>
      <patternFill patternType="solid">
        <fgColor rgb="FF0070C0"/>
        <bgColor rgb="FF185FA5"/>
      </patternFill>
    </fill>
    <fill>
      <patternFill patternType="solid">
        <fgColor rgb="FFFFC7CE"/>
        <bgColor rgb="FFFCE4D6"/>
      </patternFill>
    </fill>
    <fill>
      <patternFill patternType="solid">
        <fgColor rgb="FF7030A0"/>
        <bgColor rgb="FF800080"/>
      </patternFill>
    </fill>
    <fill>
      <patternFill patternType="solid">
        <fgColor rgb="FFE4DFEC"/>
        <bgColor rgb="FFE7E6E6"/>
      </patternFill>
    </fill>
    <fill>
      <patternFill patternType="solid">
        <fgColor rgb="FF00B050"/>
        <bgColor rgb="FF008080"/>
      </patternFill>
    </fill>
    <fill>
      <patternFill patternType="solid">
        <fgColor rgb="FF808080"/>
        <bgColor rgb="FF66666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/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185FA5"/>
      <rgbColor rgb="FFBFBFBF"/>
      <rgbColor rgb="FF808080"/>
      <rgbColor rgb="FF9999FF"/>
      <rgbColor rgb="FF7030A0"/>
      <rgbColor rgb="FFFFF2CC"/>
      <rgbColor rgb="FFE7E6E6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FBE4D5"/>
      <rgbColor rgb="FFFFE699"/>
      <rgbColor rgb="FF99CCFF"/>
      <rgbColor rgb="FFFCE4D6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666666"/>
      <rgbColor rgb="FF70AD47"/>
      <rgbColor rgb="FF003366"/>
      <rgbColor rgb="FF00B050"/>
      <rgbColor rgb="FF003300"/>
      <rgbColor rgb="FF333300"/>
      <rgbColor rgb="FF854F0B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15" activeCellId="0" sqref="H15"/>
    </sheetView>
  </sheetViews>
  <sheetFormatPr defaultColWidth="9.0937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7" min="6" style="1" width="16"/>
    <col collapsed="false" customWidth="true" hidden="false" outlineLevel="0" max="8" min="8" style="1" width="4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4.2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4.25" hidden="false" customHeight="true" outlineLevel="0" collapsed="false">
      <c r="A5" s="5" t="s">
        <v>3</v>
      </c>
      <c r="B5" s="5"/>
      <c r="C5" s="5"/>
      <c r="D5" s="5"/>
      <c r="E5" s="6" t="n">
        <f aca="false">'📈 Compte de résultat'!N19</f>
        <v>26204.72</v>
      </c>
      <c r="F5" s="6"/>
      <c r="G5" s="6"/>
      <c r="H5" s="6"/>
    </row>
    <row r="6" customFormat="false" ht="14.25" hidden="false" customHeight="true" outlineLevel="0" collapsed="false">
      <c r="A6" s="5" t="s">
        <v>4</v>
      </c>
      <c r="B6" s="5"/>
      <c r="C6" s="5"/>
      <c r="D6" s="5"/>
      <c r="E6" s="6" t="n">
        <f aca="false">'📈 Compte de résultat'!N33</f>
        <v>24254.84</v>
      </c>
      <c r="F6" s="6"/>
      <c r="G6" s="6"/>
      <c r="H6" s="6"/>
    </row>
    <row r="7" customFormat="false" ht="14.25" hidden="false" customHeight="true" outlineLevel="0" collapsed="false">
      <c r="A7" s="5" t="s">
        <v>5</v>
      </c>
      <c r="B7" s="5"/>
      <c r="C7" s="5"/>
      <c r="D7" s="5"/>
      <c r="E7" s="6" t="n">
        <f aca="false">'📈 Compte de résultat'!N35</f>
        <v>1949.88</v>
      </c>
      <c r="F7" s="6"/>
      <c r="G7" s="6"/>
      <c r="H7" s="6"/>
    </row>
    <row r="8" customFormat="false" ht="14.25" hidden="false" customHeight="true" outlineLevel="0" collapsed="false">
      <c r="A8" s="5" t="s">
        <v>6</v>
      </c>
      <c r="B8" s="5"/>
      <c r="C8" s="5"/>
      <c r="D8" s="5"/>
      <c r="E8" s="6" t="n">
        <f aca="false">'💧 Trésorerie'!N13</f>
        <v>-4954.84</v>
      </c>
      <c r="F8" s="6"/>
      <c r="G8" s="6"/>
      <c r="H8" s="6"/>
    </row>
    <row r="9" customFormat="false" ht="14.25" hidden="false" customHeight="true" outlineLevel="0" collapsed="false">
      <c r="A9" s="5" t="s">
        <v>7</v>
      </c>
      <c r="B9" s="5"/>
      <c r="C9" s="5"/>
      <c r="D9" s="5"/>
      <c r="E9" s="6" t="n">
        <f aca="false">'📈 Compte de résultat'!B37</f>
        <v>2883.19333333333</v>
      </c>
      <c r="F9" s="6"/>
      <c r="G9" s="6"/>
      <c r="H9" s="6"/>
    </row>
    <row r="10" customFormat="false" ht="14.25" hidden="false" customHeight="true" outlineLevel="0" collapsed="false">
      <c r="A10" s="5" t="s">
        <v>8</v>
      </c>
      <c r="B10" s="5"/>
      <c r="C10" s="5"/>
      <c r="D10" s="5"/>
      <c r="E10" s="7" t="n">
        <f aca="false">'💰 Revenus'!N11</f>
        <v>0.354166666666667</v>
      </c>
      <c r="F10" s="7"/>
      <c r="G10" s="7"/>
      <c r="H10" s="7"/>
    </row>
    <row r="11" customFormat="false" ht="14.25" hidden="false" customHeight="true" outlineLevel="0" collapsed="false">
      <c r="A11" s="5" t="s">
        <v>9</v>
      </c>
      <c r="B11" s="5"/>
      <c r="C11" s="5"/>
      <c r="D11" s="5"/>
      <c r="E11" s="8" t="n">
        <f aca="false">'💰 Revenus'!N12</f>
        <v>2.83333333333333</v>
      </c>
      <c r="F11" s="8"/>
      <c r="G11" s="8"/>
      <c r="H11" s="8"/>
    </row>
    <row r="13" customFormat="false" ht="14.25" hidden="false" customHeight="true" outlineLevel="0" collapsed="false">
      <c r="A13" s="4" t="s">
        <v>10</v>
      </c>
      <c r="B13" s="4"/>
      <c r="C13" s="4"/>
      <c r="D13" s="4"/>
      <c r="E13" s="4"/>
      <c r="F13" s="4"/>
      <c r="G13" s="4"/>
      <c r="H13" s="4"/>
    </row>
    <row r="14" customFormat="false" ht="14.25" hidden="false" customHeight="true" outlineLevel="0" collapsed="false">
      <c r="A14" s="9" t="s">
        <v>11</v>
      </c>
      <c r="B14" s="9" t="s">
        <v>12</v>
      </c>
      <c r="C14" s="9" t="s">
        <v>13</v>
      </c>
      <c r="D14" s="9" t="s">
        <v>14</v>
      </c>
      <c r="E14" s="9" t="s">
        <v>15</v>
      </c>
      <c r="F14" s="9" t="s">
        <v>16</v>
      </c>
      <c r="G14" s="9" t="s">
        <v>17</v>
      </c>
      <c r="H14" s="9" t="s">
        <v>18</v>
      </c>
    </row>
    <row r="15" customFormat="false" ht="25.5" hidden="false" customHeight="true" outlineLevel="0" collapsed="false">
      <c r="A15" s="10" t="s">
        <v>19</v>
      </c>
      <c r="B15" s="10" t="s">
        <v>20</v>
      </c>
      <c r="C15" s="10" t="s">
        <v>21</v>
      </c>
      <c r="D15" s="10" t="s">
        <v>22</v>
      </c>
      <c r="E15" s="10" t="s">
        <v>23</v>
      </c>
      <c r="F15" s="11" t="n">
        <v>208</v>
      </c>
      <c r="G15" s="11" t="n">
        <v>47.84</v>
      </c>
      <c r="H15" s="11" t="n">
        <f aca="false">F15+G15+35</f>
        <v>290.84</v>
      </c>
    </row>
    <row r="16" customFormat="false" ht="23.25" hidden="false" customHeight="true" outlineLevel="0" collapsed="false">
      <c r="A16" s="10" t="s">
        <v>24</v>
      </c>
      <c r="B16" s="10" t="s">
        <v>25</v>
      </c>
      <c r="C16" s="10" t="s">
        <v>26</v>
      </c>
      <c r="D16" s="10" t="s">
        <v>27</v>
      </c>
      <c r="E16" s="10" t="s">
        <v>28</v>
      </c>
      <c r="F16" s="11" t="n">
        <v>80</v>
      </c>
      <c r="G16" s="11" t="n">
        <v>0</v>
      </c>
      <c r="H16" s="11" t="n">
        <f aca="false">F16+G16+35</f>
        <v>115</v>
      </c>
    </row>
    <row r="17" customFormat="false" ht="14.25" hidden="false" customHeight="true" outlineLevel="0" collapsed="false">
      <c r="A17" s="10" t="s">
        <v>29</v>
      </c>
      <c r="B17" s="10" t="s">
        <v>25</v>
      </c>
      <c r="C17" s="10" t="s">
        <v>30</v>
      </c>
      <c r="D17" s="10" t="s">
        <v>27</v>
      </c>
      <c r="E17" s="10" t="s">
        <v>31</v>
      </c>
      <c r="F17" s="11" t="n">
        <v>300</v>
      </c>
      <c r="G17" s="11" t="n">
        <v>46</v>
      </c>
      <c r="H17" s="11" t="n">
        <f aca="false">F17+G17+35</f>
        <v>381</v>
      </c>
    </row>
    <row r="18" customFormat="false" ht="23.25" hidden="false" customHeight="true" outlineLevel="0" collapsed="false">
      <c r="A18" s="12" t="s">
        <v>32</v>
      </c>
      <c r="B18" s="12" t="s">
        <v>33</v>
      </c>
      <c r="C18" s="12" t="s">
        <v>34</v>
      </c>
      <c r="D18" s="12" t="s">
        <v>35</v>
      </c>
      <c r="E18" s="12" t="s">
        <v>36</v>
      </c>
      <c r="F18" s="13" t="n">
        <v>510</v>
      </c>
      <c r="G18" s="13" t="n">
        <v>117.3</v>
      </c>
      <c r="H18" s="11" t="n">
        <f aca="false">F18+G18+10</f>
        <v>637.3</v>
      </c>
    </row>
    <row r="19" customFormat="false" ht="14.25" hidden="false" customHeight="true" outlineLevel="0" collapsed="false">
      <c r="A19" s="14" t="s">
        <v>37</v>
      </c>
    </row>
    <row r="20" customFormat="false" ht="14.25" hidden="false" customHeight="true" outlineLevel="0" collapsed="false">
      <c r="A20" s="15" t="s">
        <v>38</v>
      </c>
      <c r="B20" s="15"/>
      <c r="C20" s="15"/>
      <c r="D20" s="15"/>
      <c r="E20" s="15"/>
      <c r="F20" s="15"/>
      <c r="G20" s="15"/>
      <c r="H20" s="15"/>
    </row>
    <row r="21" customFormat="false" ht="14.25" hidden="false" customHeight="true" outlineLevel="0" collapsed="false">
      <c r="A21" s="16" t="s">
        <v>39</v>
      </c>
      <c r="F21" s="1" t="n">
        <f aca="false">SUM(F15:F20)</f>
        <v>1098</v>
      </c>
      <c r="G21" s="1" t="n">
        <f aca="false">SUM(G15:G20)</f>
        <v>211.14</v>
      </c>
      <c r="H21" s="1" t="n">
        <f aca="false">SUM(H15:H20)</f>
        <v>1424.14</v>
      </c>
    </row>
    <row r="22" customFormat="false" ht="39" hidden="false" customHeight="true" outlineLevel="0" collapsed="false">
      <c r="A22" s="4" t="s">
        <v>40</v>
      </c>
      <c r="B22" s="17"/>
      <c r="C22" s="17"/>
      <c r="D22" s="17"/>
      <c r="E22" s="17"/>
      <c r="F22" s="17"/>
      <c r="G22" s="17"/>
      <c r="H22" s="18"/>
    </row>
    <row r="23" customFormat="false" ht="14.25" hidden="false" customHeight="true" outlineLevel="0" collapsed="false">
      <c r="A23" s="9" t="s">
        <v>41</v>
      </c>
      <c r="B23" s="9" t="s">
        <v>42</v>
      </c>
      <c r="C23" s="9" t="s">
        <v>43</v>
      </c>
      <c r="D23" s="9" t="s">
        <v>44</v>
      </c>
      <c r="E23" s="9" t="s">
        <v>45</v>
      </c>
      <c r="F23" s="9" t="s">
        <v>46</v>
      </c>
      <c r="G23" s="9" t="s">
        <v>47</v>
      </c>
      <c r="H23" s="9" t="s">
        <v>48</v>
      </c>
    </row>
    <row r="24" customFormat="false" ht="14.25" hidden="false" customHeight="true" outlineLevel="0" collapsed="false">
      <c r="A24" s="5" t="s">
        <v>49</v>
      </c>
      <c r="B24" s="19" t="n">
        <v>0.25</v>
      </c>
      <c r="C24" s="20" t="n">
        <v>2</v>
      </c>
      <c r="D24" s="20" t="n">
        <v>3</v>
      </c>
      <c r="E24" s="21" t="n">
        <f aca="false">'🎯 Scenarios'!B27</f>
        <v>0</v>
      </c>
      <c r="F24" s="21" t="n">
        <f aca="false">'🎯 Scenarios'!B28</f>
        <v>0</v>
      </c>
      <c r="G24" s="21" t="n">
        <f aca="false">'🎯 Scenarios'!B29</f>
        <v>0</v>
      </c>
      <c r="H24" s="22" t="s">
        <v>50</v>
      </c>
    </row>
    <row r="25" customFormat="false" ht="14.25" hidden="false" customHeight="true" outlineLevel="0" collapsed="false">
      <c r="A25" s="5" t="s">
        <v>51</v>
      </c>
      <c r="B25" s="19" t="n">
        <v>0.4</v>
      </c>
      <c r="C25" s="20" t="n">
        <v>5</v>
      </c>
      <c r="D25" s="20" t="n">
        <v>6</v>
      </c>
      <c r="E25" s="21" t="n">
        <f aca="false">'🎯 Scenarios'!D27</f>
        <v>0</v>
      </c>
      <c r="F25" s="21" t="n">
        <f aca="false">'🎯 Scenarios'!D28</f>
        <v>0</v>
      </c>
      <c r="G25" s="21" t="n">
        <f aca="false">'🎯 Scenarios'!D29</f>
        <v>0</v>
      </c>
      <c r="H25" s="22" t="s">
        <v>52</v>
      </c>
    </row>
    <row r="26" customFormat="false" ht="14.25" hidden="false" customHeight="true" outlineLevel="0" collapsed="false">
      <c r="A26" s="5" t="s">
        <v>53</v>
      </c>
      <c r="B26" s="19" t="n">
        <v>0.6</v>
      </c>
      <c r="C26" s="20" t="n">
        <v>10</v>
      </c>
      <c r="D26" s="20" t="n">
        <v>10</v>
      </c>
      <c r="E26" s="21" t="n">
        <f aca="false">'🎯 Scenarios'!F27</f>
        <v>0</v>
      </c>
      <c r="F26" s="21" t="n">
        <f aca="false">'🎯 Scenarios'!F28</f>
        <v>0</v>
      </c>
      <c r="G26" s="21" t="n">
        <f aca="false">'🎯 Scenarios'!F29</f>
        <v>0</v>
      </c>
      <c r="H26" s="22" t="s">
        <v>54</v>
      </c>
    </row>
    <row r="27" customFormat="false" ht="14.25" hidden="false" customHeight="true" outlineLevel="0" collapsed="false">
      <c r="A27" s="23"/>
      <c r="B27" s="23"/>
      <c r="C27" s="23"/>
      <c r="D27" s="23"/>
      <c r="E27" s="23"/>
      <c r="F27" s="23"/>
      <c r="G27" s="23"/>
      <c r="H27" s="23"/>
    </row>
    <row r="28" customFormat="false" ht="14.25" hidden="false" customHeight="true" outlineLevel="0" collapsed="false">
      <c r="B28" s="23"/>
      <c r="C28" s="23"/>
      <c r="D28" s="23"/>
      <c r="F28" s="23"/>
      <c r="G28" s="23"/>
      <c r="H28" s="23"/>
    </row>
    <row r="29" customFormat="false" ht="26.25" hidden="false" customHeight="true" outlineLevel="0" collapsed="false">
      <c r="A29" s="4" t="s">
        <v>55</v>
      </c>
      <c r="B29" s="17"/>
      <c r="C29" s="17"/>
      <c r="D29" s="17"/>
      <c r="E29" s="17"/>
      <c r="F29" s="18"/>
      <c r="G29" s="18"/>
      <c r="H29" s="18"/>
    </row>
    <row r="30" customFormat="false" ht="14.25" hidden="false" customHeight="true" outlineLevel="0" collapsed="false">
      <c r="A30" s="5" t="s">
        <v>56</v>
      </c>
      <c r="B30" s="10" t="s">
        <v>57</v>
      </c>
      <c r="C30" s="10"/>
      <c r="D30" s="10"/>
      <c r="E30" s="24" t="n">
        <f aca="false">'💧 Trésorerie'!C16</f>
        <v>-4954.84</v>
      </c>
      <c r="F30" s="22" t="s">
        <v>58</v>
      </c>
      <c r="G30" s="22"/>
      <c r="H30" s="22"/>
    </row>
    <row r="31" customFormat="false" ht="14.25" hidden="false" customHeight="true" outlineLevel="0" collapsed="false">
      <c r="A31" s="5" t="s">
        <v>59</v>
      </c>
      <c r="B31" s="10" t="s">
        <v>60</v>
      </c>
      <c r="C31" s="10"/>
      <c r="D31" s="10"/>
      <c r="E31" s="25" t="n">
        <v>4200</v>
      </c>
      <c r="F31" s="22" t="s">
        <v>61</v>
      </c>
      <c r="G31" s="22"/>
      <c r="H31" s="22"/>
    </row>
    <row r="32" customFormat="false" ht="42.75" hidden="false" customHeight="true" outlineLevel="0" collapsed="false">
      <c r="A32" s="5" t="s">
        <v>62</v>
      </c>
      <c r="B32" s="10" t="s">
        <v>63</v>
      </c>
      <c r="C32" s="17"/>
      <c r="D32" s="18"/>
      <c r="E32" s="25" t="n">
        <v>1950</v>
      </c>
      <c r="F32" s="22" t="s">
        <v>64</v>
      </c>
      <c r="G32" s="17"/>
      <c r="H32" s="18"/>
    </row>
    <row r="33" customFormat="false" ht="42.75" hidden="false" customHeight="true" outlineLevel="0" collapsed="false">
      <c r="A33" s="5" t="s">
        <v>65</v>
      </c>
      <c r="B33" s="10" t="s">
        <v>66</v>
      </c>
      <c r="C33" s="17"/>
      <c r="D33" s="18"/>
      <c r="E33" s="24" t="n">
        <f aca="false">'📈 Compte de résultat'!B37</f>
        <v>2883.19333333333</v>
      </c>
      <c r="F33" s="22" t="s">
        <v>67</v>
      </c>
      <c r="G33" s="17"/>
      <c r="H33" s="18"/>
    </row>
  </sheetData>
  <mergeCells count="28">
    <mergeCell ref="A1:H1"/>
    <mergeCell ref="A2:H2"/>
    <mergeCell ref="A4:H4"/>
    <mergeCell ref="A5:D5"/>
    <mergeCell ref="E5:H5"/>
    <mergeCell ref="A6:D6"/>
    <mergeCell ref="E6:H6"/>
    <mergeCell ref="A7:D7"/>
    <mergeCell ref="E7:H7"/>
    <mergeCell ref="A8:D8"/>
    <mergeCell ref="E8:H8"/>
    <mergeCell ref="A9:D9"/>
    <mergeCell ref="E9:H9"/>
    <mergeCell ref="A10:D10"/>
    <mergeCell ref="E10:H10"/>
    <mergeCell ref="A11:D11"/>
    <mergeCell ref="E11:H11"/>
    <mergeCell ref="A13:H13"/>
    <mergeCell ref="A20:H20"/>
    <mergeCell ref="A27:H27"/>
    <mergeCell ref="B28:D28"/>
    <mergeCell ref="F28:H28"/>
    <mergeCell ref="B29:D29"/>
    <mergeCell ref="F29:H29"/>
    <mergeCell ref="B30:D30"/>
    <mergeCell ref="F30:H30"/>
    <mergeCell ref="B31:D31"/>
    <mergeCell ref="F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B43" activeCellId="0" sqref="B43"/>
    </sheetView>
  </sheetViews>
  <sheetFormatPr defaultColWidth="9.093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4" min="3" style="1" width="12"/>
    <col collapsed="false" customWidth="true" hidden="false" outlineLevel="0" max="10" min="5" style="1" width="14"/>
  </cols>
  <sheetData>
    <row r="1" customFormat="false" ht="27.75" hidden="false" customHeight="true" outlineLevel="0" collapsed="false">
      <c r="A1" s="2" t="s">
        <v>68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69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4.25" hidden="false" customHeight="true" outlineLevel="0" collapsed="false">
      <c r="A4" s="4" t="s">
        <v>70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4.25" hidden="false" customHeight="true" outlineLevel="0" collapsed="false">
      <c r="A5" s="9" t="s">
        <v>71</v>
      </c>
      <c r="B5" s="9" t="s">
        <v>72</v>
      </c>
      <c r="C5" s="9" t="s">
        <v>73</v>
      </c>
      <c r="D5" s="9" t="s">
        <v>74</v>
      </c>
      <c r="E5" s="9" t="s">
        <v>75</v>
      </c>
      <c r="F5" s="9" t="s">
        <v>76</v>
      </c>
      <c r="G5" s="9" t="s">
        <v>77</v>
      </c>
      <c r="H5" s="9" t="s">
        <v>78</v>
      </c>
      <c r="I5" s="9" t="s">
        <v>79</v>
      </c>
      <c r="J5" s="9" t="s">
        <v>80</v>
      </c>
    </row>
    <row r="6" customFormat="false" ht="14.25" hidden="false" customHeight="true" outlineLevel="0" collapsed="false">
      <c r="A6" s="26" t="s">
        <v>81</v>
      </c>
      <c r="B6" s="27" t="s">
        <v>82</v>
      </c>
      <c r="C6" s="26" t="s">
        <v>83</v>
      </c>
      <c r="D6" s="28" t="n">
        <v>15</v>
      </c>
      <c r="E6" s="29" t="n">
        <v>18</v>
      </c>
      <c r="F6" s="29" t="n">
        <v>17</v>
      </c>
      <c r="G6" s="29" t="n">
        <v>15</v>
      </c>
      <c r="H6" s="30" t="n">
        <f aca="false">D6*E6</f>
        <v>270</v>
      </c>
      <c r="I6" s="30" t="n">
        <f aca="false">D6*F6</f>
        <v>255</v>
      </c>
      <c r="J6" s="30" t="n">
        <f aca="false">D6*G6</f>
        <v>225</v>
      </c>
    </row>
    <row r="7" customFormat="false" ht="14.25" hidden="false" customHeight="true" outlineLevel="0" collapsed="false">
      <c r="A7" s="26" t="s">
        <v>84</v>
      </c>
      <c r="B7" s="27" t="s">
        <v>85</v>
      </c>
      <c r="C7" s="26" t="s">
        <v>83</v>
      </c>
      <c r="D7" s="28" t="n">
        <v>24</v>
      </c>
      <c r="E7" s="29" t="n">
        <v>18</v>
      </c>
      <c r="F7" s="29" t="n">
        <v>17</v>
      </c>
      <c r="G7" s="29" t="n">
        <v>15</v>
      </c>
      <c r="H7" s="30" t="n">
        <f aca="false">D7*E7</f>
        <v>432</v>
      </c>
      <c r="I7" s="30" t="n">
        <f aca="false">D7*F7</f>
        <v>408</v>
      </c>
      <c r="J7" s="30" t="n">
        <f aca="false">D7*G7</f>
        <v>360</v>
      </c>
    </row>
    <row r="8" customFormat="false" ht="14.25" hidden="false" customHeight="true" outlineLevel="0" collapsed="false">
      <c r="A8" s="26" t="s">
        <v>86</v>
      </c>
      <c r="B8" s="27" t="s">
        <v>87</v>
      </c>
      <c r="C8" s="26" t="s">
        <v>83</v>
      </c>
      <c r="D8" s="28" t="n">
        <v>19</v>
      </c>
      <c r="E8" s="29" t="n">
        <v>18</v>
      </c>
      <c r="F8" s="29" t="n">
        <v>17</v>
      </c>
      <c r="G8" s="29" t="n">
        <v>15</v>
      </c>
      <c r="H8" s="30" t="n">
        <f aca="false">D8*E8</f>
        <v>342</v>
      </c>
      <c r="I8" s="30" t="n">
        <f aca="false">D8*F8</f>
        <v>323</v>
      </c>
      <c r="J8" s="30" t="n">
        <f aca="false">D8*G8</f>
        <v>285</v>
      </c>
    </row>
    <row r="9" customFormat="false" ht="14.25" hidden="false" customHeight="true" outlineLevel="0" collapsed="false">
      <c r="A9" s="26" t="s">
        <v>88</v>
      </c>
      <c r="B9" s="27" t="s">
        <v>89</v>
      </c>
      <c r="C9" s="26" t="s">
        <v>90</v>
      </c>
      <c r="D9" s="28" t="n">
        <v>17</v>
      </c>
      <c r="E9" s="29" t="n">
        <v>18</v>
      </c>
      <c r="F9" s="29" t="n">
        <v>17</v>
      </c>
      <c r="G9" s="29" t="n">
        <v>15</v>
      </c>
      <c r="H9" s="30" t="n">
        <f aca="false">D9*E9</f>
        <v>306</v>
      </c>
      <c r="I9" s="30" t="n">
        <f aca="false">D9*F9</f>
        <v>289</v>
      </c>
      <c r="J9" s="30" t="n">
        <f aca="false">D9*G9</f>
        <v>255</v>
      </c>
    </row>
    <row r="10" customFormat="false" ht="14.25" hidden="false" customHeight="true" outlineLevel="0" collapsed="false">
      <c r="A10" s="26" t="s">
        <v>91</v>
      </c>
      <c r="B10" s="27" t="s">
        <v>92</v>
      </c>
      <c r="C10" s="26" t="s">
        <v>90</v>
      </c>
      <c r="D10" s="28" t="n">
        <v>17</v>
      </c>
      <c r="E10" s="29" t="n">
        <v>18</v>
      </c>
      <c r="F10" s="29" t="n">
        <v>17</v>
      </c>
      <c r="G10" s="29" t="n">
        <v>15</v>
      </c>
      <c r="H10" s="30" t="n">
        <f aca="false">D10*E10</f>
        <v>306</v>
      </c>
      <c r="I10" s="30" t="n">
        <f aca="false">D10*F10</f>
        <v>289</v>
      </c>
      <c r="J10" s="30" t="n">
        <f aca="false">D10*G10</f>
        <v>255</v>
      </c>
    </row>
    <row r="11" customFormat="false" ht="14.25" hidden="false" customHeight="true" outlineLevel="0" collapsed="false">
      <c r="A11" s="26" t="s">
        <v>93</v>
      </c>
      <c r="B11" s="27" t="s">
        <v>94</v>
      </c>
      <c r="C11" s="26" t="s">
        <v>90</v>
      </c>
      <c r="D11" s="28" t="n">
        <v>16</v>
      </c>
      <c r="E11" s="29" t="n">
        <v>18</v>
      </c>
      <c r="F11" s="29" t="n">
        <v>17</v>
      </c>
      <c r="G11" s="29" t="n">
        <v>15</v>
      </c>
      <c r="H11" s="30" t="n">
        <f aca="false">D11*E11</f>
        <v>288</v>
      </c>
      <c r="I11" s="30" t="n">
        <f aca="false">D11*F11</f>
        <v>272</v>
      </c>
      <c r="J11" s="30" t="n">
        <f aca="false">D11*G11</f>
        <v>240</v>
      </c>
    </row>
    <row r="12" customFormat="false" ht="14.25" hidden="false" customHeight="true" outlineLevel="0" collapsed="false">
      <c r="A12" s="26" t="s">
        <v>95</v>
      </c>
      <c r="B12" s="27" t="s">
        <v>96</v>
      </c>
      <c r="C12" s="26" t="s">
        <v>90</v>
      </c>
      <c r="D12" s="28" t="n">
        <v>24</v>
      </c>
      <c r="E12" s="29" t="n">
        <v>18</v>
      </c>
      <c r="F12" s="29" t="n">
        <v>17</v>
      </c>
      <c r="G12" s="29" t="n">
        <v>15</v>
      </c>
      <c r="H12" s="30" t="n">
        <f aca="false">D12*E12</f>
        <v>432</v>
      </c>
      <c r="I12" s="30" t="n">
        <f aca="false">D12*F12</f>
        <v>408</v>
      </c>
      <c r="J12" s="30" t="n">
        <f aca="false">D12*G12</f>
        <v>360</v>
      </c>
    </row>
    <row r="13" customFormat="false" ht="14.25" hidden="false" customHeight="true" outlineLevel="0" collapsed="false">
      <c r="A13" s="26" t="s">
        <v>97</v>
      </c>
      <c r="B13" s="27" t="s">
        <v>98</v>
      </c>
      <c r="C13" s="26" t="s">
        <v>99</v>
      </c>
      <c r="D13" s="28" t="n">
        <v>12</v>
      </c>
      <c r="E13" s="29" t="n">
        <v>18</v>
      </c>
      <c r="F13" s="29" t="n">
        <v>17</v>
      </c>
      <c r="G13" s="29" t="n">
        <v>15</v>
      </c>
      <c r="H13" s="30" t="n">
        <f aca="false">D13*E13</f>
        <v>216</v>
      </c>
      <c r="I13" s="30" t="n">
        <f aca="false">D13*F13</f>
        <v>204</v>
      </c>
      <c r="J13" s="30" t="n">
        <f aca="false">D13*G13</f>
        <v>180</v>
      </c>
    </row>
    <row r="14" customFormat="false" ht="14.25" hidden="false" customHeight="true" outlineLevel="0" collapsed="false">
      <c r="A14" s="31" t="s">
        <v>100</v>
      </c>
      <c r="B14" s="31"/>
      <c r="C14" s="31"/>
      <c r="D14" s="32" t="n">
        <f aca="false">SUM(D6:D13)</f>
        <v>144</v>
      </c>
      <c r="E14" s="31"/>
      <c r="F14" s="31"/>
      <c r="G14" s="31"/>
      <c r="H14" s="33" t="n">
        <f aca="false">SUM(H6:H13)</f>
        <v>2592</v>
      </c>
      <c r="I14" s="33" t="n">
        <f aca="false">SUM(I6:I13)</f>
        <v>2448</v>
      </c>
      <c r="J14" s="33" t="n">
        <f aca="false">SUM(J6:J13)</f>
        <v>2160</v>
      </c>
    </row>
    <row r="16" customFormat="false" ht="14.25" hidden="false" customHeight="true" outlineLevel="0" collapsed="false">
      <c r="A16" s="4" t="s">
        <v>101</v>
      </c>
      <c r="B16" s="4"/>
      <c r="C16" s="4"/>
      <c r="D16" s="4"/>
      <c r="E16" s="4"/>
      <c r="F16" s="4"/>
      <c r="G16" s="4"/>
      <c r="H16" s="4"/>
      <c r="I16" s="4"/>
      <c r="J16" s="4"/>
    </row>
    <row r="17" customFormat="false" ht="14.25" hidden="false" customHeight="true" outlineLevel="0" collapsed="false">
      <c r="A17" s="9" t="s">
        <v>71</v>
      </c>
      <c r="B17" s="9" t="s">
        <v>72</v>
      </c>
      <c r="C17" s="9" t="s">
        <v>102</v>
      </c>
      <c r="D17" s="9" t="s">
        <v>14</v>
      </c>
      <c r="E17" s="9" t="s">
        <v>103</v>
      </c>
      <c r="F17" s="9" t="s">
        <v>104</v>
      </c>
      <c r="G17" s="9" t="s">
        <v>105</v>
      </c>
      <c r="H17" s="9" t="s">
        <v>106</v>
      </c>
    </row>
    <row r="18" customFormat="false" ht="14.25" hidden="false" customHeight="true" outlineLevel="0" collapsed="false">
      <c r="A18" s="10" t="s">
        <v>107</v>
      </c>
      <c r="B18" s="10" t="s">
        <v>108</v>
      </c>
      <c r="C18" s="10" t="s">
        <v>109</v>
      </c>
      <c r="D18" s="10" t="s">
        <v>110</v>
      </c>
      <c r="E18" s="34" t="n">
        <v>12</v>
      </c>
      <c r="F18" s="34" t="n">
        <v>22</v>
      </c>
      <c r="G18" s="34" t="n">
        <v>90</v>
      </c>
      <c r="H18" s="34" t="n">
        <v>200</v>
      </c>
    </row>
    <row r="19" customFormat="false" ht="14.25" hidden="false" customHeight="true" outlineLevel="0" collapsed="false">
      <c r="A19" s="10" t="s">
        <v>111</v>
      </c>
      <c r="B19" s="10" t="s">
        <v>112</v>
      </c>
      <c r="C19" s="10" t="s">
        <v>113</v>
      </c>
      <c r="D19" s="10" t="s">
        <v>114</v>
      </c>
      <c r="E19" s="34" t="n">
        <v>10</v>
      </c>
      <c r="F19" s="34" t="n">
        <v>17</v>
      </c>
      <c r="G19" s="34" t="n">
        <v>60</v>
      </c>
      <c r="H19" s="34" t="n">
        <v>180</v>
      </c>
    </row>
    <row r="20" customFormat="false" ht="14.25" hidden="false" customHeight="true" outlineLevel="0" collapsed="false">
      <c r="A20" s="10" t="s">
        <v>97</v>
      </c>
      <c r="B20" s="10" t="s">
        <v>115</v>
      </c>
      <c r="C20" s="10" t="s">
        <v>109</v>
      </c>
      <c r="D20" s="10" t="s">
        <v>116</v>
      </c>
      <c r="E20" s="34" t="n">
        <v>15</v>
      </c>
      <c r="F20" s="34" t="n">
        <v>27</v>
      </c>
      <c r="G20" s="34" t="n">
        <v>100</v>
      </c>
      <c r="H20" s="34" t="n">
        <v>216</v>
      </c>
    </row>
    <row r="23" customFormat="false" ht="14.25" hidden="false" customHeight="true" outlineLevel="0" collapsed="false">
      <c r="A23" s="4" t="s">
        <v>117</v>
      </c>
      <c r="B23" s="4"/>
      <c r="C23" s="4"/>
      <c r="D23" s="4"/>
      <c r="E23" s="4"/>
      <c r="F23" s="4"/>
      <c r="G23" s="4"/>
      <c r="H23" s="4"/>
      <c r="I23" s="4"/>
      <c r="J23" s="4"/>
    </row>
    <row r="24" customFormat="false" ht="26.25" hidden="false" customHeight="true" outlineLevel="0" collapsed="false">
      <c r="A24" s="9" t="s">
        <v>118</v>
      </c>
      <c r="B24" s="9" t="s">
        <v>119</v>
      </c>
      <c r="C24" s="9" t="s">
        <v>120</v>
      </c>
      <c r="D24" s="9" t="s">
        <v>121</v>
      </c>
      <c r="E24" s="9" t="s">
        <v>122</v>
      </c>
      <c r="F24" s="9" t="s">
        <v>11</v>
      </c>
      <c r="G24" s="9" t="s">
        <v>123</v>
      </c>
    </row>
    <row r="25" customFormat="false" ht="25.5" hidden="false" customHeight="true" outlineLevel="0" collapsed="false">
      <c r="A25" s="10" t="s">
        <v>124</v>
      </c>
      <c r="B25" s="10" t="s">
        <v>125</v>
      </c>
      <c r="C25" s="10" t="s">
        <v>126</v>
      </c>
      <c r="D25" s="34" t="n">
        <v>40</v>
      </c>
      <c r="E25" s="34" t="n">
        <v>30</v>
      </c>
      <c r="F25" s="34" t="n">
        <v>20</v>
      </c>
      <c r="G25" s="35" t="s">
        <v>127</v>
      </c>
    </row>
    <row r="26" customFormat="false" ht="25.5" hidden="false" customHeight="true" outlineLevel="0" collapsed="false">
      <c r="A26" s="10" t="s">
        <v>124</v>
      </c>
      <c r="B26" s="10" t="s">
        <v>125</v>
      </c>
      <c r="C26" s="10" t="s">
        <v>128</v>
      </c>
      <c r="D26" s="34" t="n">
        <v>110</v>
      </c>
      <c r="E26" s="34" t="n">
        <v>90</v>
      </c>
      <c r="F26" s="34" t="n">
        <v>70</v>
      </c>
      <c r="G26" s="35" t="s">
        <v>127</v>
      </c>
    </row>
    <row r="27" customFormat="false" ht="25.5" hidden="false" customHeight="true" outlineLevel="0" collapsed="false">
      <c r="A27" s="10" t="s">
        <v>124</v>
      </c>
      <c r="B27" s="10" t="s">
        <v>125</v>
      </c>
      <c r="C27" s="10" t="s">
        <v>129</v>
      </c>
      <c r="D27" s="34" t="n">
        <v>180</v>
      </c>
      <c r="E27" s="34" t="n">
        <v>150</v>
      </c>
      <c r="F27" s="34" t="n">
        <v>120</v>
      </c>
      <c r="G27" s="35" t="s">
        <v>127</v>
      </c>
    </row>
    <row r="28" customFormat="false" ht="25.5" hidden="false" customHeight="true" outlineLevel="0" collapsed="false">
      <c r="A28" s="10" t="s">
        <v>130</v>
      </c>
      <c r="B28" s="10" t="s">
        <v>131</v>
      </c>
      <c r="C28" s="10" t="s">
        <v>126</v>
      </c>
      <c r="D28" s="34" t="n">
        <v>30</v>
      </c>
      <c r="E28" s="34" t="n">
        <v>20</v>
      </c>
      <c r="F28" s="34" t="n">
        <v>15</v>
      </c>
      <c r="G28" s="35" t="s">
        <v>127</v>
      </c>
    </row>
    <row r="29" customFormat="false" ht="25.5" hidden="false" customHeight="true" outlineLevel="0" collapsed="false">
      <c r="A29" s="10" t="s">
        <v>130</v>
      </c>
      <c r="B29" s="10" t="s">
        <v>131</v>
      </c>
      <c r="C29" s="10" t="s">
        <v>128</v>
      </c>
      <c r="D29" s="34" t="n">
        <v>90</v>
      </c>
      <c r="E29" s="34" t="n">
        <v>60</v>
      </c>
      <c r="F29" s="34" t="n">
        <v>45</v>
      </c>
      <c r="G29" s="35" t="s">
        <v>127</v>
      </c>
    </row>
    <row r="30" customFormat="false" ht="25.5" hidden="false" customHeight="true" outlineLevel="0" collapsed="false">
      <c r="A30" s="10" t="s">
        <v>130</v>
      </c>
      <c r="B30" s="10" t="s">
        <v>131</v>
      </c>
      <c r="C30" s="10" t="s">
        <v>129</v>
      </c>
      <c r="D30" s="34" t="n">
        <v>150</v>
      </c>
      <c r="E30" s="34" t="n">
        <v>100</v>
      </c>
      <c r="F30" s="34" t="n">
        <v>80</v>
      </c>
      <c r="G30" s="35" t="s">
        <v>127</v>
      </c>
    </row>
    <row r="31" customFormat="false" ht="25.5" hidden="false" customHeight="true" outlineLevel="0" collapsed="false">
      <c r="A31" s="10" t="s">
        <v>132</v>
      </c>
      <c r="B31" s="10" t="s">
        <v>131</v>
      </c>
      <c r="C31" s="10" t="s">
        <v>126</v>
      </c>
      <c r="D31" s="34" t="n">
        <v>30</v>
      </c>
      <c r="E31" s="34" t="n">
        <v>20</v>
      </c>
      <c r="F31" s="34" t="n">
        <v>15</v>
      </c>
      <c r="G31" s="35" t="s">
        <v>127</v>
      </c>
    </row>
    <row r="32" customFormat="false" ht="25.5" hidden="false" customHeight="true" outlineLevel="0" collapsed="false">
      <c r="A32" s="10" t="s">
        <v>132</v>
      </c>
      <c r="B32" s="10" t="s">
        <v>131</v>
      </c>
      <c r="C32" s="10" t="s">
        <v>128</v>
      </c>
      <c r="D32" s="34" t="n">
        <v>90</v>
      </c>
      <c r="E32" s="34" t="n">
        <v>60</v>
      </c>
      <c r="F32" s="34" t="n">
        <v>45</v>
      </c>
      <c r="G32" s="35" t="s">
        <v>127</v>
      </c>
    </row>
    <row r="33" customFormat="false" ht="25.5" hidden="false" customHeight="true" outlineLevel="0" collapsed="false">
      <c r="A33" s="10" t="s">
        <v>132</v>
      </c>
      <c r="B33" s="10" t="s">
        <v>131</v>
      </c>
      <c r="C33" s="10" t="s">
        <v>129</v>
      </c>
      <c r="D33" s="34" t="n">
        <v>150</v>
      </c>
      <c r="E33" s="34" t="n">
        <v>100</v>
      </c>
      <c r="F33" s="34" t="n">
        <v>80</v>
      </c>
      <c r="G33" s="35" t="s">
        <v>127</v>
      </c>
    </row>
    <row r="34" customFormat="false" ht="38.25" hidden="false" customHeight="true" outlineLevel="0" collapsed="false">
      <c r="A34" s="10" t="s">
        <v>133</v>
      </c>
      <c r="B34" s="10" t="s">
        <v>134</v>
      </c>
      <c r="C34" s="10" t="s">
        <v>126</v>
      </c>
      <c r="D34" s="34" t="n">
        <v>20</v>
      </c>
      <c r="E34" s="34" t="n">
        <v>15</v>
      </c>
      <c r="F34" s="34" t="n">
        <v>10</v>
      </c>
      <c r="G34" s="35" t="s">
        <v>127</v>
      </c>
    </row>
    <row r="35" customFormat="false" ht="38.25" hidden="false" customHeight="true" outlineLevel="0" collapsed="false">
      <c r="A35" s="10" t="s">
        <v>133</v>
      </c>
      <c r="B35" s="10" t="s">
        <v>134</v>
      </c>
      <c r="C35" s="10" t="s">
        <v>128</v>
      </c>
      <c r="D35" s="34" t="n">
        <v>60</v>
      </c>
      <c r="E35" s="34" t="n">
        <v>45</v>
      </c>
      <c r="F35" s="34" t="n">
        <v>30</v>
      </c>
      <c r="G35" s="35" t="s">
        <v>127</v>
      </c>
    </row>
    <row r="36" customFormat="false" ht="38.25" hidden="false" customHeight="true" outlineLevel="0" collapsed="false">
      <c r="A36" s="10" t="s">
        <v>133</v>
      </c>
      <c r="B36" s="10" t="s">
        <v>134</v>
      </c>
      <c r="C36" s="10" t="s">
        <v>129</v>
      </c>
      <c r="D36" s="34" t="n">
        <v>100</v>
      </c>
      <c r="E36" s="34" t="n">
        <v>80</v>
      </c>
      <c r="F36" s="34" t="n">
        <v>70</v>
      </c>
      <c r="G36" s="35" t="s">
        <v>127</v>
      </c>
    </row>
    <row r="39" customFormat="false" ht="14.25" hidden="false" customHeight="true" outlineLevel="0" collapsed="false">
      <c r="A39" s="4" t="s">
        <v>135</v>
      </c>
      <c r="B39" s="4"/>
      <c r="C39" s="4"/>
      <c r="D39" s="4"/>
      <c r="E39" s="4"/>
      <c r="F39" s="4"/>
      <c r="G39" s="4"/>
      <c r="H39" s="4"/>
      <c r="I39" s="4"/>
      <c r="J39" s="4"/>
    </row>
    <row r="40" customFormat="false" ht="26.25" hidden="false" customHeight="true" outlineLevel="0" collapsed="false">
      <c r="A40" s="9" t="s">
        <v>136</v>
      </c>
      <c r="B40" s="9" t="s">
        <v>137</v>
      </c>
      <c r="C40" s="9" t="s">
        <v>138</v>
      </c>
      <c r="D40" s="9" t="s">
        <v>48</v>
      </c>
    </row>
    <row r="41" customFormat="false" ht="14.25" hidden="false" customHeight="true" outlineLevel="0" collapsed="false">
      <c r="A41" s="10" t="s">
        <v>139</v>
      </c>
      <c r="B41" s="34" t="n">
        <v>5</v>
      </c>
      <c r="C41" s="36" t="s">
        <v>140</v>
      </c>
      <c r="D41" s="22" t="s">
        <v>141</v>
      </c>
      <c r="E41" s="22"/>
      <c r="F41" s="22"/>
      <c r="G41" s="22"/>
      <c r="H41" s="22"/>
      <c r="I41" s="22"/>
      <c r="J41" s="22"/>
    </row>
    <row r="42" customFormat="false" ht="25.5" hidden="false" customHeight="true" outlineLevel="0" collapsed="false">
      <c r="A42" s="10" t="s">
        <v>142</v>
      </c>
      <c r="B42" s="34" t="n">
        <v>45</v>
      </c>
      <c r="C42" s="36" t="s">
        <v>140</v>
      </c>
      <c r="D42" s="22" t="s">
        <v>143</v>
      </c>
      <c r="E42" s="22"/>
      <c r="F42" s="22"/>
      <c r="G42" s="22"/>
      <c r="H42" s="22"/>
      <c r="I42" s="22"/>
      <c r="J42" s="22"/>
    </row>
    <row r="43" customFormat="false" ht="14.25" hidden="false" customHeight="true" outlineLevel="0" collapsed="false">
      <c r="A43" s="10" t="s">
        <v>144</v>
      </c>
      <c r="B43" s="34" t="n">
        <v>30</v>
      </c>
      <c r="C43" s="36" t="s">
        <v>140</v>
      </c>
      <c r="D43" s="22" t="s">
        <v>145</v>
      </c>
      <c r="E43" s="22"/>
      <c r="F43" s="22"/>
      <c r="G43" s="22"/>
      <c r="H43" s="22"/>
      <c r="I43" s="22"/>
      <c r="J43" s="22"/>
    </row>
    <row r="44" customFormat="false" ht="25.5" hidden="false" customHeight="true" outlineLevel="0" collapsed="false">
      <c r="A44" s="10" t="s">
        <v>146</v>
      </c>
      <c r="B44" s="34" t="n">
        <v>30</v>
      </c>
      <c r="C44" s="36" t="s">
        <v>147</v>
      </c>
      <c r="D44" s="22" t="s">
        <v>148</v>
      </c>
      <c r="E44" s="22"/>
      <c r="F44" s="22"/>
      <c r="G44" s="22"/>
      <c r="H44" s="22"/>
      <c r="I44" s="22"/>
      <c r="J44" s="22"/>
    </row>
    <row r="45" customFormat="false" ht="25.5" hidden="false" customHeight="true" outlineLevel="0" collapsed="false">
      <c r="A45" s="10" t="s">
        <v>149</v>
      </c>
      <c r="B45" s="34" t="n">
        <v>45</v>
      </c>
      <c r="C45" s="36" t="s">
        <v>147</v>
      </c>
      <c r="D45" s="22" t="s">
        <v>150</v>
      </c>
      <c r="E45" s="22"/>
      <c r="F45" s="22"/>
      <c r="G45" s="22"/>
      <c r="H45" s="22"/>
      <c r="I45" s="22"/>
      <c r="J45" s="22"/>
    </row>
    <row r="46" customFormat="false" ht="25.5" hidden="false" customHeight="true" outlineLevel="0" collapsed="false">
      <c r="A46" s="10" t="s">
        <v>151</v>
      </c>
      <c r="B46" s="34" t="n">
        <v>80</v>
      </c>
      <c r="C46" s="36" t="s">
        <v>147</v>
      </c>
      <c r="D46" s="22" t="s">
        <v>152</v>
      </c>
      <c r="E46" s="22"/>
      <c r="F46" s="22"/>
      <c r="G46" s="22"/>
      <c r="H46" s="22"/>
      <c r="I46" s="22"/>
      <c r="J46" s="22"/>
    </row>
    <row r="47" customFormat="false" ht="25.5" hidden="false" customHeight="true" outlineLevel="0" collapsed="false">
      <c r="A47" s="10" t="s">
        <v>153</v>
      </c>
      <c r="B47" s="34" t="n">
        <v>15</v>
      </c>
      <c r="C47" s="36" t="s">
        <v>147</v>
      </c>
      <c r="D47" s="22" t="s">
        <v>154</v>
      </c>
      <c r="E47" s="22"/>
      <c r="F47" s="22"/>
      <c r="G47" s="22"/>
      <c r="H47" s="22"/>
      <c r="I47" s="22"/>
      <c r="J47" s="22"/>
    </row>
    <row r="48" customFormat="false" ht="25.5" hidden="false" customHeight="true" outlineLevel="0" collapsed="false">
      <c r="A48" s="10" t="s">
        <v>155</v>
      </c>
      <c r="B48" s="34" t="n">
        <v>50</v>
      </c>
      <c r="C48" s="36" t="s">
        <v>147</v>
      </c>
      <c r="D48" s="22" t="s">
        <v>156</v>
      </c>
      <c r="E48" s="22"/>
      <c r="F48" s="22"/>
      <c r="G48" s="22"/>
      <c r="H48" s="22"/>
      <c r="I48" s="22"/>
      <c r="J48" s="22"/>
    </row>
    <row r="49" customFormat="false" ht="25.5" hidden="false" customHeight="true" outlineLevel="0" collapsed="false">
      <c r="A49" s="10" t="s">
        <v>157</v>
      </c>
      <c r="B49" s="34" t="n">
        <v>150</v>
      </c>
      <c r="C49" s="36" t="s">
        <v>147</v>
      </c>
      <c r="D49" s="22" t="s">
        <v>156</v>
      </c>
      <c r="E49" s="22"/>
      <c r="F49" s="22"/>
      <c r="G49" s="22"/>
      <c r="H49" s="22"/>
      <c r="I49" s="22"/>
      <c r="J49" s="22"/>
    </row>
    <row r="50" customFormat="false" ht="14.25" hidden="false" customHeight="true" outlineLevel="0" collapsed="false">
      <c r="A50" s="10" t="s">
        <v>158</v>
      </c>
      <c r="B50" s="34" t="n">
        <v>0</v>
      </c>
      <c r="C50" s="36" t="s">
        <v>159</v>
      </c>
      <c r="D50" s="22" t="s">
        <v>160</v>
      </c>
      <c r="E50" s="22"/>
      <c r="F50" s="22"/>
      <c r="G50" s="22"/>
      <c r="H50" s="22"/>
      <c r="I50" s="22"/>
      <c r="J50" s="22"/>
    </row>
    <row r="51" customFormat="false" ht="25.5" hidden="false" customHeight="true" outlineLevel="0" collapsed="false">
      <c r="A51" s="10" t="s">
        <v>161</v>
      </c>
      <c r="B51" s="37" t="n">
        <v>0.23</v>
      </c>
      <c r="C51" s="36" t="s">
        <v>162</v>
      </c>
      <c r="D51" s="22" t="s">
        <v>163</v>
      </c>
      <c r="E51" s="22"/>
      <c r="F51" s="22"/>
      <c r="G51" s="22"/>
      <c r="H51" s="22"/>
      <c r="I51" s="22"/>
      <c r="J51" s="22"/>
    </row>
  </sheetData>
  <mergeCells count="18">
    <mergeCell ref="A1:J1"/>
    <mergeCell ref="A2:J2"/>
    <mergeCell ref="A4:J4"/>
    <mergeCell ref="A14:C14"/>
    <mergeCell ref="A16:J16"/>
    <mergeCell ref="A23:J23"/>
    <mergeCell ref="A39:J39"/>
    <mergeCell ref="D41:J41"/>
    <mergeCell ref="D42:J42"/>
    <mergeCell ref="D43:J43"/>
    <mergeCell ref="D44:J44"/>
    <mergeCell ref="D45:J45"/>
    <mergeCell ref="D46:J46"/>
    <mergeCell ref="D47:J47"/>
    <mergeCell ref="D48:J48"/>
    <mergeCell ref="D49:J49"/>
    <mergeCell ref="D50:J50"/>
    <mergeCell ref="D51:J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C33" activeCellId="0" sqref="C33"/>
    </sheetView>
  </sheetViews>
  <sheetFormatPr defaultColWidth="9.09375" defaultRowHeight="14.2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9" min="7" style="1" width="16"/>
    <col collapsed="false" customWidth="true" hidden="false" outlineLevel="0" max="10" min="10" style="1" width="18"/>
  </cols>
  <sheetData>
    <row r="1" customFormat="false" ht="27.75" hidden="false" customHeight="true" outlineLevel="0" collapsed="false">
      <c r="A1" s="2" t="s">
        <v>164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165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4.25" hidden="false" customHeight="true" outlineLevel="0" collapsed="false">
      <c r="A4" s="4" t="s">
        <v>166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4.25" hidden="false" customHeight="true" outlineLevel="0" collapsed="false">
      <c r="A5" s="9" t="s">
        <v>11</v>
      </c>
      <c r="B5" s="9" t="s">
        <v>167</v>
      </c>
      <c r="C5" s="9" t="s">
        <v>71</v>
      </c>
      <c r="D5" s="9" t="s">
        <v>14</v>
      </c>
      <c r="E5" s="9" t="s">
        <v>15</v>
      </c>
      <c r="F5" s="9" t="s">
        <v>168</v>
      </c>
      <c r="G5" s="9" t="s">
        <v>169</v>
      </c>
      <c r="H5" s="9" t="s">
        <v>170</v>
      </c>
      <c r="I5" s="9" t="s">
        <v>171</v>
      </c>
      <c r="J5" s="9" t="s">
        <v>172</v>
      </c>
    </row>
    <row r="6" customFormat="false" ht="25.5" hidden="false" customHeight="true" outlineLevel="0" collapsed="false">
      <c r="A6" s="10" t="s">
        <v>173</v>
      </c>
      <c r="B6" s="10" t="s">
        <v>174</v>
      </c>
      <c r="C6" s="10" t="s">
        <v>175</v>
      </c>
      <c r="D6" s="38" t="n">
        <v>16</v>
      </c>
      <c r="E6" s="10" t="s">
        <v>176</v>
      </c>
      <c r="F6" s="10" t="s">
        <v>177</v>
      </c>
      <c r="G6" s="39" t="n">
        <v>208</v>
      </c>
      <c r="H6" s="39" t="n">
        <v>47.84</v>
      </c>
      <c r="I6" s="39" t="n">
        <v>35</v>
      </c>
      <c r="J6" s="40" t="n">
        <f aca="false">G6+H6+I6</f>
        <v>290.84</v>
      </c>
    </row>
    <row r="7" customFormat="false" ht="14.25" hidden="false" customHeight="true" outlineLevel="0" collapsed="false">
      <c r="A7" s="1" t="s">
        <v>38</v>
      </c>
      <c r="B7" s="1" t="s">
        <v>178</v>
      </c>
      <c r="C7" s="1" t="s">
        <v>179</v>
      </c>
      <c r="D7" s="1" t="n">
        <v>12</v>
      </c>
      <c r="E7" s="1" t="s">
        <v>180</v>
      </c>
      <c r="F7" s="1" t="s">
        <v>177</v>
      </c>
      <c r="G7" s="1" t="n">
        <v>93</v>
      </c>
      <c r="H7" s="1" t="n">
        <v>20.24</v>
      </c>
      <c r="I7" s="1" t="n">
        <v>35</v>
      </c>
      <c r="J7" s="1" t="n">
        <f aca="false">G7+H7+I7</f>
        <v>148.24</v>
      </c>
    </row>
    <row r="8" customFormat="false" ht="14.25" hidden="false" customHeight="true" outlineLevel="0" collapsed="false">
      <c r="A8" s="41" t="s">
        <v>181</v>
      </c>
      <c r="B8" s="41"/>
      <c r="C8" s="41"/>
      <c r="D8" s="41"/>
      <c r="E8" s="41"/>
      <c r="F8" s="41"/>
      <c r="G8" s="1" t="n">
        <v>510</v>
      </c>
      <c r="H8" s="1" t="n">
        <v>117.3</v>
      </c>
      <c r="I8" s="1" t="n">
        <v>10</v>
      </c>
      <c r="J8" s="1" t="n">
        <f aca="false">G8+H8+I8</f>
        <v>637.3</v>
      </c>
    </row>
    <row r="9" customFormat="false" ht="14.25" hidden="false" customHeight="true" outlineLevel="0" collapsed="false">
      <c r="A9" s="42" t="s">
        <v>182</v>
      </c>
    </row>
    <row r="10" customFormat="false" ht="14.25" hidden="false" customHeight="true" outlineLevel="0" collapsed="false">
      <c r="A10" s="23"/>
      <c r="B10" s="23"/>
      <c r="C10" s="23"/>
      <c r="D10" s="23"/>
      <c r="E10" s="23"/>
      <c r="F10" s="23"/>
      <c r="G10" s="23"/>
      <c r="H10" s="23"/>
      <c r="I10" s="23"/>
      <c r="J10" s="23"/>
    </row>
    <row r="11" customFormat="false" ht="14.25" hidden="false" customHeight="true" outlineLevel="0" collapsed="false">
      <c r="A11" s="43" t="s">
        <v>183</v>
      </c>
      <c r="G11" s="40" t="n">
        <f aca="false">SUM(G6:G9)</f>
        <v>811</v>
      </c>
      <c r="H11" s="40" t="n">
        <f aca="false">SUM(H6:H9)</f>
        <v>185.38</v>
      </c>
      <c r="I11" s="40" t="n">
        <f aca="false">SUM(I6:I9)</f>
        <v>80</v>
      </c>
      <c r="J11" s="40" t="n">
        <f aca="false">SUM(J6:J9)</f>
        <v>1076.38</v>
      </c>
    </row>
    <row r="12" customFormat="false" ht="25.5" hidden="false" customHeight="true" outlineLevel="0" collapsed="false"/>
    <row r="13" customFormat="false" ht="39" hidden="false" customHeight="true" outlineLevel="0" collapsed="false">
      <c r="A13" s="4" t="s">
        <v>184</v>
      </c>
      <c r="B13" s="17"/>
      <c r="C13" s="17"/>
      <c r="D13" s="17"/>
      <c r="E13" s="17"/>
      <c r="F13" s="17"/>
      <c r="G13" s="17"/>
      <c r="H13" s="17"/>
      <c r="I13" s="17"/>
      <c r="J13" s="18"/>
    </row>
    <row r="14" customFormat="false" ht="14.25" hidden="false" customHeight="true" outlineLevel="0" collapsed="false">
      <c r="A14" s="9" t="s">
        <v>11</v>
      </c>
      <c r="B14" s="9" t="s">
        <v>167</v>
      </c>
      <c r="C14" s="9" t="s">
        <v>71</v>
      </c>
      <c r="D14" s="9" t="s">
        <v>14</v>
      </c>
      <c r="E14" s="9" t="s">
        <v>15</v>
      </c>
      <c r="F14" s="9" t="s">
        <v>168</v>
      </c>
      <c r="G14" s="9" t="s">
        <v>169</v>
      </c>
      <c r="H14" s="9" t="s">
        <v>170</v>
      </c>
      <c r="I14" s="9" t="s">
        <v>171</v>
      </c>
      <c r="J14" s="9" t="s">
        <v>172</v>
      </c>
    </row>
    <row r="15" customFormat="false" ht="23.25" hidden="false" customHeight="true" outlineLevel="0" collapsed="false">
      <c r="A15" s="10" t="s">
        <v>185</v>
      </c>
      <c r="B15" s="10" t="s">
        <v>186</v>
      </c>
      <c r="C15" s="10" t="s">
        <v>187</v>
      </c>
      <c r="D15" s="38" t="n">
        <v>0</v>
      </c>
      <c r="E15" s="10" t="s">
        <v>28</v>
      </c>
      <c r="F15" s="10" t="s">
        <v>188</v>
      </c>
      <c r="G15" s="39" t="n">
        <v>80</v>
      </c>
      <c r="H15" s="39" t="n">
        <v>0</v>
      </c>
      <c r="I15" s="39" t="n">
        <v>35</v>
      </c>
      <c r="J15" s="40" t="n">
        <f aca="false">G15+H15+I15</f>
        <v>115</v>
      </c>
    </row>
    <row r="16" customFormat="false" ht="14.25" hidden="false" customHeight="true" outlineLevel="0" collapsed="false">
      <c r="A16" s="10" t="s">
        <v>189</v>
      </c>
      <c r="B16" s="10"/>
      <c r="C16" s="10"/>
      <c r="D16" s="10"/>
      <c r="E16" s="10"/>
      <c r="F16" s="10"/>
      <c r="G16" s="10"/>
      <c r="H16" s="10"/>
      <c r="I16" s="10"/>
      <c r="J16" s="10"/>
    </row>
    <row r="17" customFormat="false" ht="32.25" hidden="false" customHeight="true" outlineLevel="0" collapsed="false">
      <c r="A17" s="43" t="s">
        <v>190</v>
      </c>
      <c r="G17" s="1" t="n">
        <f aca="false">SUM(G15:G16)</f>
        <v>80</v>
      </c>
      <c r="H17" s="1" t="n">
        <f aca="false">SUM(H15:H16)</f>
        <v>0</v>
      </c>
      <c r="I17" s="1" t="n">
        <f aca="false">SUM(I15:I16)</f>
        <v>35</v>
      </c>
      <c r="J17" s="1" t="n">
        <f aca="false">SUM(J15:J16)</f>
        <v>115</v>
      </c>
    </row>
    <row r="18" customFormat="false" ht="23.25" hidden="false" customHeight="true" outlineLevel="0" collapsed="false">
      <c r="A18" s="44" t="s">
        <v>191</v>
      </c>
      <c r="G18" s="1" t="n">
        <f aca="false">G11 + G17 + (510*6)</f>
        <v>3951</v>
      </c>
      <c r="H18" s="1" t="n">
        <f aca="false">H11 + H17 + (117.3*6)</f>
        <v>889.18</v>
      </c>
      <c r="I18" s="1" t="n">
        <f aca="false">I11 + I17 + (10*6)</f>
        <v>175</v>
      </c>
      <c r="J18" s="1" t="n">
        <f aca="false">J11 + J17 + (637.3*6)</f>
        <v>5015.18</v>
      </c>
    </row>
    <row r="19" customFormat="false" ht="42.75" hidden="false" customHeight="true" outlineLevel="0" collapsed="false">
      <c r="A19" s="45" t="s">
        <v>192</v>
      </c>
      <c r="B19" s="17"/>
      <c r="C19" s="17"/>
      <c r="D19" s="17"/>
      <c r="E19" s="17"/>
      <c r="F19" s="17"/>
      <c r="G19" s="17"/>
      <c r="H19" s="17"/>
      <c r="I19" s="17"/>
      <c r="J19" s="18"/>
    </row>
    <row r="20" customFormat="false" ht="25.5" hidden="false" customHeight="true" outlineLevel="0" collapsed="false">
      <c r="A20" s="9" t="s">
        <v>71</v>
      </c>
      <c r="B20" s="9" t="s">
        <v>72</v>
      </c>
      <c r="C20" s="9" t="s">
        <v>14</v>
      </c>
      <c r="D20" s="9" t="s">
        <v>193</v>
      </c>
      <c r="E20" s="9" t="s">
        <v>194</v>
      </c>
      <c r="F20" s="9" t="s">
        <v>195</v>
      </c>
      <c r="G20" s="9" t="s">
        <v>48</v>
      </c>
    </row>
    <row r="21" customFormat="false" ht="21.75" hidden="false" customHeight="true" outlineLevel="0" collapsed="false">
      <c r="A21" s="35" t="s">
        <v>81</v>
      </c>
      <c r="B21" s="10" t="s">
        <v>82</v>
      </c>
      <c r="C21" s="38" t="n">
        <v>15</v>
      </c>
      <c r="D21" s="46" t="n">
        <v>270</v>
      </c>
      <c r="E21" s="46" t="n">
        <v>255</v>
      </c>
      <c r="F21" s="46" t="n">
        <v>225</v>
      </c>
      <c r="G21" s="22" t="s">
        <v>196</v>
      </c>
    </row>
    <row r="22" customFormat="false" ht="23.25" hidden="false" customHeight="true" outlineLevel="0" collapsed="false">
      <c r="A22" s="35" t="s">
        <v>86</v>
      </c>
      <c r="B22" s="10" t="s">
        <v>87</v>
      </c>
      <c r="C22" s="38" t="n">
        <v>19</v>
      </c>
      <c r="D22" s="46" t="n">
        <v>342</v>
      </c>
      <c r="E22" s="46" t="n">
        <v>323</v>
      </c>
      <c r="F22" s="46" t="n">
        <v>285</v>
      </c>
      <c r="G22" s="22" t="s">
        <v>83</v>
      </c>
    </row>
    <row r="23" customFormat="false" ht="14.25" hidden="false" customHeight="true" outlineLevel="0" collapsed="false">
      <c r="A23" s="35" t="s">
        <v>91</v>
      </c>
      <c r="B23" s="18"/>
      <c r="C23" s="38" t="n">
        <v>17</v>
      </c>
      <c r="D23" s="46" t="n">
        <v>306</v>
      </c>
      <c r="E23" s="46" t="n">
        <v>289</v>
      </c>
      <c r="F23" s="46" t="n">
        <v>255</v>
      </c>
      <c r="G23" s="22" t="s">
        <v>197</v>
      </c>
    </row>
    <row r="24" customFormat="false" ht="34.5" hidden="false" customHeight="true" outlineLevel="0" collapsed="false">
      <c r="A24" s="35" t="s">
        <v>95</v>
      </c>
      <c r="B24" s="10" t="s">
        <v>96</v>
      </c>
      <c r="C24" s="38" t="n">
        <v>24</v>
      </c>
      <c r="D24" s="46" t="n">
        <v>432</v>
      </c>
      <c r="E24" s="46" t="n">
        <v>408</v>
      </c>
      <c r="F24" s="46" t="n">
        <v>360</v>
      </c>
      <c r="G24" s="22" t="s">
        <v>198</v>
      </c>
    </row>
    <row r="25" customFormat="false" ht="34.5" hidden="false" customHeight="true" outlineLevel="0" collapsed="false">
      <c r="A25" s="47" t="s">
        <v>199</v>
      </c>
      <c r="B25" s="47"/>
      <c r="C25" s="48" t="n">
        <f aca="false">SUM(C21:C24)</f>
        <v>75</v>
      </c>
      <c r="D25" s="49" t="n">
        <f aca="false">SUM(D21:D24)</f>
        <v>1350</v>
      </c>
      <c r="E25" s="49" t="n">
        <f aca="false">SUM(E21:E24)</f>
        <v>1275</v>
      </c>
      <c r="F25" s="49" t="n">
        <f aca="false">SUM(F21:F24)</f>
        <v>1125</v>
      </c>
      <c r="G25" s="22" t="s">
        <v>200</v>
      </c>
    </row>
  </sheetData>
  <mergeCells count="7">
    <mergeCell ref="A1:J1"/>
    <mergeCell ref="A2:J2"/>
    <mergeCell ref="A4:J4"/>
    <mergeCell ref="A8:F8"/>
    <mergeCell ref="A10:J10"/>
    <mergeCell ref="A16:J16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9.09375" defaultRowHeight="14.25" zeroHeight="false" outlineLevelRow="0" outlineLevelCol="0"/>
  <cols>
    <col collapsed="false" customWidth="true" hidden="false" outlineLevel="0" max="1" min="1" style="1" width="32"/>
    <col collapsed="false" customWidth="true" hidden="false" outlineLevel="0" max="13" min="2" style="1" width="10"/>
    <col collapsed="false" customWidth="true" hidden="false" outlineLevel="0" max="14" min="14" style="1" width="13"/>
  </cols>
  <sheetData>
    <row r="1" customFormat="false" ht="27.75" hidden="false" customHeight="true" outlineLevel="0" collapsed="false">
      <c r="A1" s="2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true" outlineLevel="0" collapsed="false">
      <c r="A2" s="3" t="s">
        <v>202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4.25" hidden="false" customHeight="true" outlineLevel="0" collapsed="false">
      <c r="A4" s="4" t="s">
        <v>203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4.25" hidden="false" customHeight="true" outlineLevel="0" collapsed="false">
      <c r="A5" s="50" t="s">
        <v>204</v>
      </c>
      <c r="B5" s="9" t="s">
        <v>205</v>
      </c>
      <c r="C5" s="9" t="s">
        <v>206</v>
      </c>
      <c r="D5" s="9" t="s">
        <v>207</v>
      </c>
      <c r="E5" s="9" t="s">
        <v>208</v>
      </c>
      <c r="F5" s="9" t="s">
        <v>209</v>
      </c>
      <c r="G5" s="9" t="s">
        <v>210</v>
      </c>
      <c r="H5" s="9" t="s">
        <v>211</v>
      </c>
      <c r="I5" s="9" t="s">
        <v>212</v>
      </c>
      <c r="J5" s="9" t="s">
        <v>213</v>
      </c>
      <c r="K5" s="9" t="s">
        <v>214</v>
      </c>
      <c r="L5" s="9" t="s">
        <v>215</v>
      </c>
      <c r="M5" s="9" t="s">
        <v>216</v>
      </c>
      <c r="N5" s="9" t="s">
        <v>217</v>
      </c>
    </row>
    <row r="6" customFormat="false" ht="14.25" hidden="false" customHeight="true" outlineLevel="0" collapsed="false">
      <c r="A6" s="51" t="s">
        <v>218</v>
      </c>
      <c r="B6" s="52" t="n">
        <v>0.125</v>
      </c>
      <c r="C6" s="52" t="n">
        <v>0.125</v>
      </c>
      <c r="D6" s="52" t="n">
        <v>0.25</v>
      </c>
      <c r="E6" s="52" t="n">
        <v>0.25</v>
      </c>
      <c r="F6" s="52" t="n">
        <v>0.25</v>
      </c>
      <c r="G6" s="52" t="n">
        <v>0.25</v>
      </c>
      <c r="H6" s="52" t="n">
        <v>0.375</v>
      </c>
      <c r="I6" s="52" t="n">
        <v>0.375</v>
      </c>
      <c r="J6" s="52" t="n">
        <v>0.5</v>
      </c>
      <c r="K6" s="52" t="n">
        <v>0.5</v>
      </c>
      <c r="L6" s="52" t="n">
        <v>0.625</v>
      </c>
      <c r="M6" s="52" t="n">
        <v>0.625</v>
      </c>
      <c r="N6" s="53" t="n">
        <f aca="false">AVERAGE(B6:M6)</f>
        <v>0.354166666666667</v>
      </c>
    </row>
    <row r="7" customFormat="false" ht="14.25" hidden="false" customHeight="true" outlineLevel="0" collapsed="false">
      <c r="A7" s="51" t="s">
        <v>219</v>
      </c>
      <c r="B7" s="21" t="n">
        <f aca="false">'⚙️ Hypothèses'!$I$14</f>
        <v>2448</v>
      </c>
      <c r="C7" s="21" t="n">
        <f aca="false">'⚙️ Hypothèses'!$I$14</f>
        <v>2448</v>
      </c>
      <c r="D7" s="21" t="n">
        <f aca="false">'⚙️ Hypothèses'!$I$14</f>
        <v>2448</v>
      </c>
      <c r="E7" s="21" t="n">
        <f aca="false">'⚙️ Hypothèses'!$I$14</f>
        <v>2448</v>
      </c>
      <c r="F7" s="21" t="n">
        <f aca="false">'⚙️ Hypothèses'!$I$14</f>
        <v>2448</v>
      </c>
      <c r="G7" s="21" t="n">
        <f aca="false">'⚙️ Hypothèses'!$I$14</f>
        <v>2448</v>
      </c>
      <c r="H7" s="21" t="n">
        <f aca="false">'⚙️ Hypothèses'!$I$14</f>
        <v>2448</v>
      </c>
      <c r="I7" s="21" t="n">
        <f aca="false">'⚙️ Hypothèses'!$I$14</f>
        <v>2448</v>
      </c>
      <c r="J7" s="21" t="n">
        <f aca="false">'⚙️ Hypothèses'!$I$14</f>
        <v>2448</v>
      </c>
      <c r="K7" s="21" t="n">
        <f aca="false">'⚙️ Hypothèses'!$I$14</f>
        <v>2448</v>
      </c>
      <c r="L7" s="21" t="n">
        <f aca="false">'⚙️ Hypothèses'!$I$14</f>
        <v>2448</v>
      </c>
      <c r="M7" s="21" t="n">
        <f aca="false">'⚙️ Hypothèses'!$I$14</f>
        <v>2448</v>
      </c>
      <c r="N7" s="21" t="n">
        <f aca="false">B7</f>
        <v>2448</v>
      </c>
    </row>
    <row r="8" customFormat="false" ht="14.25" hidden="false" customHeight="true" outlineLevel="0" collapsed="false">
      <c r="A8" s="54" t="s">
        <v>220</v>
      </c>
      <c r="B8" s="49" t="n">
        <f aca="false">B6*B7</f>
        <v>306</v>
      </c>
      <c r="C8" s="49" t="n">
        <f aca="false">C6*C7</f>
        <v>306</v>
      </c>
      <c r="D8" s="49" t="n">
        <f aca="false">D6*D7</f>
        <v>612</v>
      </c>
      <c r="E8" s="49" t="n">
        <f aca="false">E6*E7</f>
        <v>612</v>
      </c>
      <c r="F8" s="49" t="n">
        <f aca="false">F6*F7</f>
        <v>612</v>
      </c>
      <c r="G8" s="49" t="n">
        <f aca="false">G6*G7</f>
        <v>612</v>
      </c>
      <c r="H8" s="49" t="n">
        <f aca="false">H6*H7</f>
        <v>918</v>
      </c>
      <c r="I8" s="49" t="n">
        <f aca="false">I6*I7</f>
        <v>918</v>
      </c>
      <c r="J8" s="49" t="n">
        <f aca="false">J6*J7</f>
        <v>1224</v>
      </c>
      <c r="K8" s="49" t="n">
        <f aca="false">K6*K7</f>
        <v>1224</v>
      </c>
      <c r="L8" s="49" t="n">
        <f aca="false">L6*L7</f>
        <v>1530</v>
      </c>
      <c r="M8" s="49" t="n">
        <f aca="false">M6*M7</f>
        <v>1530</v>
      </c>
      <c r="N8" s="49" t="n">
        <f aca="false">SUM(B8:M8)</f>
        <v>10404</v>
      </c>
    </row>
    <row r="9" customFormat="false" ht="14.25" hidden="false" customHeight="true" outlineLevel="0" collapsed="false">
      <c r="A9" s="51" t="s">
        <v>221</v>
      </c>
      <c r="B9" s="46" t="n">
        <f aca="false">B8*0.23</f>
        <v>70.38</v>
      </c>
      <c r="C9" s="46" t="n">
        <f aca="false">C8*0.23</f>
        <v>70.38</v>
      </c>
      <c r="D9" s="46" t="n">
        <f aca="false">D8*0.23</f>
        <v>140.76</v>
      </c>
      <c r="E9" s="46" t="n">
        <f aca="false">E8*0.23</f>
        <v>140.76</v>
      </c>
      <c r="F9" s="46" t="n">
        <f aca="false">F8*0.23</f>
        <v>140.76</v>
      </c>
      <c r="G9" s="46" t="n">
        <f aca="false">G8*0.23</f>
        <v>140.76</v>
      </c>
      <c r="H9" s="46" t="n">
        <f aca="false">H8*0.23</f>
        <v>211.14</v>
      </c>
      <c r="I9" s="46" t="n">
        <f aca="false">I8*0.23</f>
        <v>211.14</v>
      </c>
      <c r="J9" s="46" t="n">
        <f aca="false">J8*0.23</f>
        <v>281.52</v>
      </c>
      <c r="K9" s="46" t="n">
        <f aca="false">K8*0.23</f>
        <v>281.52</v>
      </c>
      <c r="L9" s="46" t="n">
        <f aca="false">L8*0.23</f>
        <v>351.9</v>
      </c>
      <c r="M9" s="46" t="n">
        <f aca="false">M8*0.23</f>
        <v>351.9</v>
      </c>
      <c r="N9" s="46" t="n">
        <f aca="false">SUM(B9:M9)</f>
        <v>2392.92</v>
      </c>
    </row>
    <row r="11" customFormat="false" ht="14.25" hidden="false" customHeight="true" outlineLevel="0" collapsed="false">
      <c r="A11" s="55" t="s">
        <v>222</v>
      </c>
      <c r="B11" s="56" t="n">
        <f aca="false">B6</f>
        <v>0.125</v>
      </c>
      <c r="C11" s="56" t="n">
        <f aca="false">C6</f>
        <v>0.125</v>
      </c>
      <c r="D11" s="56" t="n">
        <f aca="false">D6</f>
        <v>0.25</v>
      </c>
      <c r="E11" s="56" t="n">
        <f aca="false">E6</f>
        <v>0.25</v>
      </c>
      <c r="F11" s="56" t="n">
        <f aca="false">F6</f>
        <v>0.25</v>
      </c>
      <c r="G11" s="56" t="n">
        <f aca="false">G6</f>
        <v>0.25</v>
      </c>
      <c r="H11" s="56" t="n">
        <f aca="false">H6</f>
        <v>0.375</v>
      </c>
      <c r="I11" s="56" t="n">
        <f aca="false">I6</f>
        <v>0.375</v>
      </c>
      <c r="J11" s="56" t="n">
        <f aca="false">J6</f>
        <v>0.5</v>
      </c>
      <c r="K11" s="56" t="n">
        <f aca="false">K6</f>
        <v>0.5</v>
      </c>
      <c r="L11" s="56" t="n">
        <f aca="false">L6</f>
        <v>0.625</v>
      </c>
      <c r="M11" s="56" t="n">
        <f aca="false">M6</f>
        <v>0.625</v>
      </c>
      <c r="N11" s="53" t="n">
        <f aca="false">AVERAGE(B11:M11)</f>
        <v>0.354166666666667</v>
      </c>
    </row>
    <row r="12" customFormat="false" ht="14.25" hidden="false" customHeight="true" outlineLevel="0" collapsed="false">
      <c r="A12" s="55" t="s">
        <v>223</v>
      </c>
      <c r="B12" s="57" t="n">
        <f aca="false">B6*8</f>
        <v>1</v>
      </c>
      <c r="C12" s="57" t="n">
        <f aca="false">C6*8</f>
        <v>1</v>
      </c>
      <c r="D12" s="57" t="n">
        <f aca="false">D6*8</f>
        <v>2</v>
      </c>
      <c r="E12" s="57" t="n">
        <f aca="false">E6*8</f>
        <v>2</v>
      </c>
      <c r="F12" s="57" t="n">
        <f aca="false">F6*8</f>
        <v>2</v>
      </c>
      <c r="G12" s="57" t="n">
        <f aca="false">G6*8</f>
        <v>2</v>
      </c>
      <c r="H12" s="57" t="n">
        <f aca="false">H6*8</f>
        <v>3</v>
      </c>
      <c r="I12" s="57" t="n">
        <f aca="false">I6*8</f>
        <v>3</v>
      </c>
      <c r="J12" s="57" t="n">
        <f aca="false">J6*8</f>
        <v>4</v>
      </c>
      <c r="K12" s="57" t="n">
        <f aca="false">K6*8</f>
        <v>4</v>
      </c>
      <c r="L12" s="57" t="n">
        <f aca="false">L6*8</f>
        <v>5</v>
      </c>
      <c r="M12" s="57" t="n">
        <f aca="false">M6*8</f>
        <v>5</v>
      </c>
      <c r="N12" s="58" t="n">
        <f aca="false">AVERAGE(B12:M12)</f>
        <v>2.83333333333333</v>
      </c>
    </row>
    <row r="13" customFormat="false" ht="14.25" hidden="false" customHeight="true" outlineLevel="0" collapsed="false">
      <c r="A13" s="44" t="s">
        <v>224</v>
      </c>
    </row>
    <row r="14" customFormat="false" ht="14.25" hidden="false" customHeight="true" outlineLevel="0" collapsed="false">
      <c r="A14" s="41" t="s">
        <v>225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</row>
    <row r="15" customFormat="false" ht="14.25" hidden="false" customHeight="true" outlineLevel="0" collapsed="false">
      <c r="A15" s="1" t="s">
        <v>226</v>
      </c>
      <c r="B15" s="1" t="n">
        <v>148.24</v>
      </c>
      <c r="C15" s="1" t="n">
        <v>148.24</v>
      </c>
      <c r="D15" s="1" t="n">
        <v>148.24</v>
      </c>
      <c r="E15" s="1" t="n">
        <v>148.24</v>
      </c>
      <c r="F15" s="1" t="n">
        <v>148.24</v>
      </c>
      <c r="G15" s="1" t="n">
        <v>148.24</v>
      </c>
      <c r="H15" s="1" t="n">
        <v>148.24</v>
      </c>
      <c r="I15" s="1" t="n">
        <v>148.24</v>
      </c>
      <c r="J15" s="1" t="n">
        <v>148.24</v>
      </c>
      <c r="K15" s="1" t="n">
        <v>148.24</v>
      </c>
      <c r="L15" s="1" t="n">
        <v>148.24</v>
      </c>
      <c r="M15" s="1" t="n">
        <v>148.24</v>
      </c>
      <c r="N15" s="1" t="n">
        <v>1778.88</v>
      </c>
    </row>
    <row r="16" customFormat="false" ht="14.25" hidden="false" customHeight="true" outlineLevel="0" collapsed="false">
      <c r="A16" s="1" t="s">
        <v>227</v>
      </c>
      <c r="B16" s="1" t="n">
        <v>381</v>
      </c>
      <c r="C16" s="1" t="n">
        <v>381</v>
      </c>
      <c r="D16" s="1" t="n">
        <v>381</v>
      </c>
      <c r="E16" s="1" t="n">
        <v>381</v>
      </c>
      <c r="F16" s="1" t="n">
        <v>381</v>
      </c>
      <c r="G16" s="1" t="n">
        <v>381</v>
      </c>
      <c r="H16" s="1" t="n">
        <v>381</v>
      </c>
      <c r="I16" s="1" t="n">
        <v>381</v>
      </c>
      <c r="J16" s="1" t="n">
        <v>381</v>
      </c>
      <c r="K16" s="1" t="n">
        <v>381</v>
      </c>
      <c r="L16" s="1" t="n">
        <v>381</v>
      </c>
      <c r="M16" s="1" t="n">
        <v>381</v>
      </c>
      <c r="N16" s="1" t="n">
        <v>4572</v>
      </c>
    </row>
    <row r="17" customFormat="false" ht="14.25" hidden="false" customHeight="true" outlineLevel="0" collapsed="false">
      <c r="A17" s="1" t="s">
        <v>228</v>
      </c>
      <c r="B17" s="1" t="n">
        <v>115</v>
      </c>
      <c r="C17" s="1" t="n">
        <v>115</v>
      </c>
      <c r="D17" s="1" t="n">
        <v>115</v>
      </c>
      <c r="E17" s="1" t="n">
        <v>115</v>
      </c>
      <c r="F17" s="1" t="n">
        <v>115</v>
      </c>
      <c r="G17" s="1" t="n">
        <v>115</v>
      </c>
      <c r="H17" s="1" t="n">
        <v>115</v>
      </c>
      <c r="I17" s="1" t="n">
        <v>115</v>
      </c>
      <c r="J17" s="1" t="n">
        <v>115</v>
      </c>
      <c r="K17" s="1" t="n">
        <v>115</v>
      </c>
      <c r="L17" s="1" t="n">
        <v>115</v>
      </c>
      <c r="M17" s="1" t="n">
        <v>115</v>
      </c>
      <c r="N17" s="1" t="n">
        <v>1380</v>
      </c>
    </row>
    <row r="18" customFormat="false" ht="14.25" hidden="false" customHeight="true" outlineLevel="0" collapsed="false">
      <c r="A18" s="1" t="s">
        <v>229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637.3</v>
      </c>
      <c r="I18" s="1" t="n">
        <v>637.3</v>
      </c>
      <c r="J18" s="1" t="n">
        <v>637.3</v>
      </c>
      <c r="K18" s="1" t="n">
        <v>637.3</v>
      </c>
      <c r="L18" s="1" t="n">
        <v>637.3</v>
      </c>
      <c r="M18" s="1" t="n">
        <v>637.3</v>
      </c>
      <c r="N18" s="1" t="n">
        <v>3823.8</v>
      </c>
    </row>
    <row r="19" customFormat="false" ht="14.25" hidden="false" customHeight="true" outlineLevel="0" collapsed="false">
      <c r="A19" s="14" t="s">
        <v>230</v>
      </c>
    </row>
    <row r="20" customFormat="false" ht="14.25" hidden="false" customHeight="true" outlineLevel="0" collapsed="false">
      <c r="A20" s="44" t="s">
        <v>231</v>
      </c>
      <c r="B20" s="1" t="n">
        <v>644.24</v>
      </c>
      <c r="C20" s="1" t="n">
        <v>644.24</v>
      </c>
      <c r="D20" s="1" t="n">
        <v>644.24</v>
      </c>
      <c r="E20" s="1" t="n">
        <v>935.08</v>
      </c>
      <c r="F20" s="1" t="n">
        <v>935.08</v>
      </c>
      <c r="G20" s="1" t="n">
        <v>935.08</v>
      </c>
      <c r="H20" s="1" t="n">
        <v>1572.38</v>
      </c>
      <c r="I20" s="1" t="n">
        <v>1572.38</v>
      </c>
      <c r="J20" s="1" t="n">
        <v>1572.38</v>
      </c>
      <c r="K20" s="1" t="n">
        <v>1572.38</v>
      </c>
      <c r="L20" s="1" t="n">
        <v>1572.38</v>
      </c>
      <c r="M20" s="1" t="n">
        <v>1572.38</v>
      </c>
      <c r="N20" s="1" t="n">
        <v>14172.24</v>
      </c>
    </row>
    <row r="21" customFormat="false" ht="26.25" hidden="false" customHeight="true" outlineLevel="0" collapsed="false">
      <c r="A21" s="4" t="s">
        <v>232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/>
    </row>
    <row r="22" customFormat="false" ht="14.25" hidden="false" customHeight="true" outlineLevel="0" collapsed="false">
      <c r="A22" s="50" t="s">
        <v>204</v>
      </c>
      <c r="B22" s="9" t="s">
        <v>205</v>
      </c>
      <c r="C22" s="9" t="s">
        <v>206</v>
      </c>
      <c r="D22" s="9" t="s">
        <v>207</v>
      </c>
      <c r="E22" s="9" t="s">
        <v>208</v>
      </c>
      <c r="F22" s="9" t="s">
        <v>209</v>
      </c>
      <c r="G22" s="9" t="s">
        <v>210</v>
      </c>
      <c r="H22" s="9" t="s">
        <v>211</v>
      </c>
      <c r="I22" s="9" t="s">
        <v>212</v>
      </c>
      <c r="J22" s="9" t="s">
        <v>213</v>
      </c>
      <c r="K22" s="9" t="s">
        <v>214</v>
      </c>
      <c r="L22" s="9" t="s">
        <v>215</v>
      </c>
      <c r="M22" s="9" t="s">
        <v>216</v>
      </c>
      <c r="N22" s="9" t="s">
        <v>217</v>
      </c>
    </row>
    <row r="23" customFormat="false" ht="14.25" hidden="false" customHeight="true" outlineLevel="0" collapsed="false">
      <c r="A23" s="59" t="s">
        <v>233</v>
      </c>
      <c r="B23" s="1" t="n">
        <v>0</v>
      </c>
      <c r="C23" s="1" t="n">
        <v>0</v>
      </c>
      <c r="D23" s="1" t="n">
        <v>4</v>
      </c>
      <c r="E23" s="1" t="n">
        <v>8</v>
      </c>
      <c r="F23" s="1" t="n">
        <v>10</v>
      </c>
      <c r="G23" s="1" t="n">
        <v>12</v>
      </c>
      <c r="H23" s="1" t="n">
        <v>12</v>
      </c>
      <c r="I23" s="1" t="n">
        <v>8</v>
      </c>
      <c r="J23" s="1" t="n">
        <v>15</v>
      </c>
      <c r="K23" s="1" t="n">
        <v>18</v>
      </c>
      <c r="L23" s="1" t="n">
        <v>20</v>
      </c>
      <c r="M23" s="1" t="n">
        <v>22</v>
      </c>
    </row>
    <row r="24" customFormat="false" ht="14.25" hidden="false" customHeight="true" outlineLevel="0" collapsed="false">
      <c r="A24" s="55" t="s">
        <v>234</v>
      </c>
      <c r="B24" s="21" t="n">
        <f aca="false">'⚙️ Hypothèses'!$F$19</f>
        <v>17</v>
      </c>
      <c r="C24" s="21" t="n">
        <f aca="false">'⚙️ Hypothèses'!$F$19</f>
        <v>17</v>
      </c>
      <c r="D24" s="21" t="n">
        <f aca="false">'⚙️ Hypothèses'!$F$19</f>
        <v>17</v>
      </c>
      <c r="E24" s="21" t="n">
        <f aca="false">'⚙️ Hypothèses'!$F$19</f>
        <v>17</v>
      </c>
      <c r="F24" s="21" t="n">
        <f aca="false">'⚙️ Hypothèses'!$F$19</f>
        <v>17</v>
      </c>
      <c r="G24" s="21" t="n">
        <f aca="false">'⚙️ Hypothèses'!$F$19</f>
        <v>17</v>
      </c>
      <c r="H24" s="21" t="n">
        <f aca="false">'⚙️ Hypothèses'!$F$19</f>
        <v>17</v>
      </c>
      <c r="I24" s="21" t="n">
        <f aca="false">'⚙️ Hypothèses'!$F$19</f>
        <v>17</v>
      </c>
      <c r="J24" s="21" t="n">
        <f aca="false">'⚙️ Hypothèses'!$F$19</f>
        <v>17</v>
      </c>
      <c r="K24" s="21" t="n">
        <f aca="false">'⚙️ Hypothèses'!$F$19</f>
        <v>17</v>
      </c>
      <c r="L24" s="21" t="n">
        <f aca="false">'⚙️ Hypothèses'!$F$19</f>
        <v>17</v>
      </c>
      <c r="M24" s="21" t="n">
        <f aca="false">'⚙️ Hypothèses'!$F$19</f>
        <v>17</v>
      </c>
      <c r="N24" s="60" t="n">
        <f aca="false">B17</f>
        <v>115</v>
      </c>
    </row>
    <row r="25" customFormat="false" ht="14.25" hidden="false" customHeight="true" outlineLevel="0" collapsed="false">
      <c r="A25" s="54" t="s">
        <v>235</v>
      </c>
      <c r="B25" s="49" t="n">
        <f aca="false">B23*B24</f>
        <v>0</v>
      </c>
      <c r="C25" s="49" t="n">
        <f aca="false">C23*C24</f>
        <v>0</v>
      </c>
      <c r="D25" s="49" t="n">
        <f aca="false">D23*D24</f>
        <v>68</v>
      </c>
      <c r="E25" s="49" t="n">
        <f aca="false">E23*E24</f>
        <v>136</v>
      </c>
      <c r="F25" s="49" t="n">
        <f aca="false">F23*F24</f>
        <v>170</v>
      </c>
      <c r="G25" s="49" t="n">
        <f aca="false">G23*G24</f>
        <v>204</v>
      </c>
      <c r="H25" s="49" t="n">
        <f aca="false">H23*H24</f>
        <v>204</v>
      </c>
      <c r="I25" s="49" t="n">
        <f aca="false">I23*I24</f>
        <v>136</v>
      </c>
      <c r="J25" s="49" t="n">
        <f aca="false">J23*J24</f>
        <v>255</v>
      </c>
      <c r="K25" s="49" t="n">
        <f aca="false">K23*K24</f>
        <v>306</v>
      </c>
      <c r="L25" s="49" t="n">
        <f aca="false">L23*L24</f>
        <v>340</v>
      </c>
      <c r="M25" s="49" t="n">
        <f aca="false">M23*M24</f>
        <v>374</v>
      </c>
      <c r="N25" s="49" t="n">
        <f aca="false">SUM(B25:M25)</f>
        <v>2193</v>
      </c>
    </row>
    <row r="26" customFormat="false" ht="14.25" hidden="false" customHeight="true" outlineLevel="0" collapsed="false">
      <c r="A26" s="51" t="s">
        <v>236</v>
      </c>
      <c r="B26" s="61" t="n">
        <v>0</v>
      </c>
      <c r="C26" s="61" t="n">
        <v>1</v>
      </c>
      <c r="D26" s="61" t="n">
        <v>2</v>
      </c>
      <c r="E26" s="61" t="n">
        <v>3</v>
      </c>
      <c r="F26" s="61" t="n">
        <v>4</v>
      </c>
      <c r="G26" s="61" t="n">
        <v>5</v>
      </c>
      <c r="H26" s="61" t="n">
        <v>5</v>
      </c>
      <c r="I26" s="61" t="n">
        <v>4</v>
      </c>
      <c r="J26" s="61" t="n">
        <v>6</v>
      </c>
      <c r="K26" s="61" t="n">
        <v>7</v>
      </c>
      <c r="L26" s="61" t="n">
        <v>8</v>
      </c>
      <c r="M26" s="61" t="n">
        <v>9</v>
      </c>
      <c r="N26" s="62" t="n">
        <f aca="false">AVERAGE(B26:M26)</f>
        <v>4.5</v>
      </c>
    </row>
    <row r="27" customFormat="false" ht="14.25" hidden="false" customHeight="true" outlineLevel="0" collapsed="false">
      <c r="A27" s="55" t="s">
        <v>237</v>
      </c>
      <c r="B27" s="21" t="n">
        <f aca="false">'⚙️ Hypothèses'!$H$19</f>
        <v>180</v>
      </c>
      <c r="C27" s="21" t="n">
        <f aca="false">'⚙️ Hypothèses'!$H$19</f>
        <v>180</v>
      </c>
      <c r="D27" s="21" t="n">
        <f aca="false">'⚙️ Hypothèses'!$H$19</f>
        <v>180</v>
      </c>
      <c r="E27" s="21" t="n">
        <f aca="false">'⚙️ Hypothèses'!$H$19</f>
        <v>180</v>
      </c>
      <c r="F27" s="21" t="n">
        <f aca="false">'⚙️ Hypothèses'!$H$19</f>
        <v>180</v>
      </c>
      <c r="G27" s="21" t="n">
        <f aca="false">'⚙️ Hypothèses'!$H$19</f>
        <v>180</v>
      </c>
      <c r="H27" s="21" t="n">
        <f aca="false">'⚙️ Hypothèses'!$H$19</f>
        <v>180</v>
      </c>
      <c r="I27" s="21" t="n">
        <f aca="false">'⚙️ Hypothèses'!$H$19</f>
        <v>180</v>
      </c>
      <c r="J27" s="21" t="n">
        <f aca="false">'⚙️ Hypothèses'!$H$19</f>
        <v>180</v>
      </c>
      <c r="K27" s="21" t="n">
        <f aca="false">'⚙️ Hypothèses'!$H$19</f>
        <v>180</v>
      </c>
      <c r="L27" s="21" t="n">
        <f aca="false">'⚙️ Hypothèses'!$H$19</f>
        <v>180</v>
      </c>
      <c r="M27" s="21" t="n">
        <f aca="false">'⚙️ Hypothèses'!$H$19</f>
        <v>180</v>
      </c>
    </row>
    <row r="28" customFormat="false" ht="14.25" hidden="false" customHeight="true" outlineLevel="0" collapsed="false">
      <c r="A28" s="54" t="s">
        <v>238</v>
      </c>
      <c r="B28" s="49" t="n">
        <f aca="false">B26*B27</f>
        <v>0</v>
      </c>
      <c r="C28" s="49" t="n">
        <f aca="false">C26*C27</f>
        <v>180</v>
      </c>
      <c r="D28" s="49" t="n">
        <f aca="false">D26*D27</f>
        <v>360</v>
      </c>
      <c r="E28" s="49" t="n">
        <f aca="false">E26*E27</f>
        <v>540</v>
      </c>
      <c r="F28" s="49" t="n">
        <f aca="false">F26*F27</f>
        <v>720</v>
      </c>
      <c r="G28" s="49" t="n">
        <f aca="false">G26*G27</f>
        <v>900</v>
      </c>
      <c r="H28" s="49" t="n">
        <f aca="false">H26*H27</f>
        <v>900</v>
      </c>
      <c r="I28" s="49" t="n">
        <f aca="false">I26*I27</f>
        <v>720</v>
      </c>
      <c r="J28" s="49" t="n">
        <f aca="false">J26*J27</f>
        <v>1080</v>
      </c>
      <c r="K28" s="49" t="n">
        <f aca="false">K26*K27</f>
        <v>1260</v>
      </c>
      <c r="L28" s="49" t="n">
        <f aca="false">L26*L27</f>
        <v>1440</v>
      </c>
      <c r="M28" s="49" t="n">
        <f aca="false">M26*M27</f>
        <v>1620</v>
      </c>
      <c r="N28" s="49" t="n">
        <f aca="false">SUM(B28:M28)</f>
        <v>9720</v>
      </c>
    </row>
    <row r="29" customFormat="false" ht="14.25" hidden="false" customHeight="true" outlineLevel="0" collapsed="false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</row>
    <row r="30" customFormat="false" ht="39" hidden="false" customHeight="true" outlineLevel="0" collapsed="false">
      <c r="A30" s="4" t="s">
        <v>239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8"/>
    </row>
    <row r="31" customFormat="false" ht="14.25" hidden="false" customHeight="true" outlineLevel="0" collapsed="false">
      <c r="A31" s="50" t="s">
        <v>204</v>
      </c>
      <c r="B31" s="9" t="s">
        <v>205</v>
      </c>
      <c r="C31" s="9" t="s">
        <v>206</v>
      </c>
      <c r="D31" s="9" t="s">
        <v>207</v>
      </c>
      <c r="E31" s="9" t="s">
        <v>208</v>
      </c>
      <c r="F31" s="9" t="s">
        <v>209</v>
      </c>
      <c r="G31" s="9" t="s">
        <v>210</v>
      </c>
      <c r="H31" s="9" t="s">
        <v>211</v>
      </c>
      <c r="I31" s="9" t="s">
        <v>212</v>
      </c>
      <c r="J31" s="9" t="s">
        <v>213</v>
      </c>
      <c r="K31" s="9" t="s">
        <v>214</v>
      </c>
      <c r="L31" s="9" t="s">
        <v>215</v>
      </c>
      <c r="M31" s="9" t="s">
        <v>216</v>
      </c>
      <c r="N31" s="9" t="s">
        <v>217</v>
      </c>
    </row>
    <row r="32" customFormat="false" ht="14.25" hidden="false" customHeight="true" outlineLevel="0" collapsed="false">
      <c r="A32" s="51" t="s">
        <v>240</v>
      </c>
      <c r="B32" s="61" t="n">
        <v>2</v>
      </c>
      <c r="C32" s="61" t="n">
        <v>3</v>
      </c>
      <c r="D32" s="61" t="n">
        <v>4</v>
      </c>
      <c r="E32" s="61" t="n">
        <v>3</v>
      </c>
      <c r="F32" s="61" t="n">
        <v>5</v>
      </c>
      <c r="G32" s="61" t="n">
        <v>7</v>
      </c>
      <c r="H32" s="61" t="n">
        <v>4</v>
      </c>
      <c r="I32" s="61" t="n">
        <v>3</v>
      </c>
      <c r="J32" s="61" t="n">
        <v>7</v>
      </c>
      <c r="K32" s="61" t="n">
        <v>8</v>
      </c>
      <c r="L32" s="61" t="n">
        <v>9</v>
      </c>
      <c r="M32" s="61" t="n">
        <v>9</v>
      </c>
      <c r="N32" s="63" t="n">
        <f aca="false">SUM(B32:M32)</f>
        <v>64</v>
      </c>
    </row>
    <row r="33" customFormat="false" ht="14.25" hidden="false" customHeight="true" outlineLevel="0" collapsed="false">
      <c r="A33" s="55" t="s">
        <v>241</v>
      </c>
      <c r="B33" s="34" t="n">
        <v>115</v>
      </c>
      <c r="C33" s="34" t="n">
        <v>115</v>
      </c>
      <c r="D33" s="34" t="n">
        <v>115</v>
      </c>
      <c r="E33" s="34" t="n">
        <v>115</v>
      </c>
      <c r="F33" s="34" t="n">
        <v>115</v>
      </c>
      <c r="G33" s="34" t="n">
        <v>115</v>
      </c>
      <c r="H33" s="34" t="n">
        <v>115</v>
      </c>
      <c r="I33" s="34" t="n">
        <v>115</v>
      </c>
      <c r="J33" s="34" t="n">
        <v>115</v>
      </c>
      <c r="K33" s="34" t="n">
        <v>115</v>
      </c>
      <c r="L33" s="34" t="n">
        <v>115</v>
      </c>
      <c r="M33" s="34" t="n">
        <v>115</v>
      </c>
    </row>
    <row r="34" customFormat="false" ht="14.25" hidden="false" customHeight="true" outlineLevel="0" collapsed="false">
      <c r="A34" s="54" t="s">
        <v>242</v>
      </c>
      <c r="B34" s="49" t="n">
        <f aca="false">B32*B33</f>
        <v>230</v>
      </c>
      <c r="C34" s="49" t="n">
        <f aca="false">C32*C33</f>
        <v>345</v>
      </c>
      <c r="D34" s="49" t="n">
        <f aca="false">D32*D33</f>
        <v>460</v>
      </c>
      <c r="E34" s="49" t="n">
        <f aca="false">E32*E33</f>
        <v>345</v>
      </c>
      <c r="F34" s="49" t="n">
        <f aca="false">F32*F33</f>
        <v>575</v>
      </c>
      <c r="G34" s="49" t="n">
        <f aca="false">G32*G33</f>
        <v>805</v>
      </c>
      <c r="H34" s="49" t="n">
        <f aca="false">H32*H33</f>
        <v>460</v>
      </c>
      <c r="I34" s="49" t="n">
        <f aca="false">I32*I33</f>
        <v>345</v>
      </c>
      <c r="J34" s="49" t="n">
        <f aca="false">J32*J33</f>
        <v>805</v>
      </c>
      <c r="K34" s="49" t="n">
        <f aca="false">K32*K33</f>
        <v>920</v>
      </c>
      <c r="L34" s="49" t="n">
        <f aca="false">L32*L33</f>
        <v>1035</v>
      </c>
      <c r="M34" s="49" t="n">
        <f aca="false">M32*M33</f>
        <v>1035</v>
      </c>
      <c r="N34" s="49" t="n">
        <f aca="false">SUM(B34:M34)</f>
        <v>7360</v>
      </c>
    </row>
    <row r="36" customFormat="false" ht="51.75" hidden="false" customHeight="true" outlineLevel="0" collapsed="false">
      <c r="A36" s="4" t="s">
        <v>243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8"/>
    </row>
    <row r="37" customFormat="false" ht="14.25" hidden="false" customHeight="true" outlineLevel="0" collapsed="false">
      <c r="A37" s="50" t="s">
        <v>204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</row>
    <row r="38" customFormat="false" ht="14.25" hidden="false" customHeight="true" outlineLevel="0" collapsed="false">
      <c r="A38" s="51" t="s">
        <v>244</v>
      </c>
      <c r="B38" s="61" t="n">
        <v>0</v>
      </c>
      <c r="C38" s="61" t="n">
        <v>0</v>
      </c>
      <c r="D38" s="61" t="n">
        <v>1</v>
      </c>
      <c r="E38" s="61" t="n">
        <v>1</v>
      </c>
      <c r="F38" s="61" t="n">
        <v>2</v>
      </c>
      <c r="G38" s="61" t="n">
        <v>2</v>
      </c>
      <c r="H38" s="61" t="n">
        <v>2</v>
      </c>
      <c r="I38" s="61" t="n">
        <v>2</v>
      </c>
      <c r="J38" s="61" t="n">
        <v>3</v>
      </c>
      <c r="K38" s="61" t="n">
        <v>4</v>
      </c>
      <c r="L38" s="61" t="n">
        <v>4</v>
      </c>
      <c r="M38" s="61" t="n">
        <v>4</v>
      </c>
      <c r="N38" s="62" t="n">
        <f aca="false">AVERAGE(B38:M38)</f>
        <v>2.08333333333333</v>
      </c>
    </row>
    <row r="39" customFormat="false" ht="14.25" hidden="false" customHeight="true" outlineLevel="0" collapsed="false">
      <c r="A39" s="54" t="s">
        <v>245</v>
      </c>
      <c r="B39" s="49" t="n">
        <f aca="false">B38*45</f>
        <v>0</v>
      </c>
      <c r="C39" s="49" t="n">
        <f aca="false">C38*45</f>
        <v>0</v>
      </c>
      <c r="D39" s="49" t="n">
        <f aca="false">D38*45</f>
        <v>45</v>
      </c>
      <c r="E39" s="49" t="n">
        <f aca="false">E38*45</f>
        <v>45</v>
      </c>
      <c r="F39" s="49" t="n">
        <f aca="false">F38*45</f>
        <v>90</v>
      </c>
      <c r="G39" s="49" t="n">
        <f aca="false">G38*45</f>
        <v>90</v>
      </c>
      <c r="H39" s="49" t="n">
        <f aca="false">H38*45</f>
        <v>90</v>
      </c>
      <c r="I39" s="49" t="n">
        <f aca="false">I38*45</f>
        <v>90</v>
      </c>
      <c r="J39" s="49" t="n">
        <f aca="false">J38*45</f>
        <v>135</v>
      </c>
      <c r="K39" s="49" t="n">
        <f aca="false">K38*45</f>
        <v>180</v>
      </c>
      <c r="L39" s="49" t="n">
        <f aca="false">L38*45</f>
        <v>180</v>
      </c>
      <c r="M39" s="49" t="n">
        <f aca="false">M38*45</f>
        <v>180</v>
      </c>
      <c r="N39" s="49" t="n">
        <f aca="false">SUM(B39:M39)</f>
        <v>1125</v>
      </c>
    </row>
    <row r="40" customFormat="false" ht="14.25" hidden="false" customHeight="true" outlineLevel="0" collapsed="false">
      <c r="A40" s="51" t="s">
        <v>246</v>
      </c>
      <c r="B40" s="61" t="n">
        <v>1</v>
      </c>
      <c r="C40" s="61" t="n">
        <v>1</v>
      </c>
      <c r="D40" s="61" t="n">
        <v>2</v>
      </c>
      <c r="E40" s="61" t="n">
        <v>3</v>
      </c>
      <c r="F40" s="61" t="n">
        <v>3</v>
      </c>
      <c r="G40" s="61" t="n">
        <v>4</v>
      </c>
      <c r="H40" s="61" t="n">
        <v>4</v>
      </c>
      <c r="I40" s="61" t="n">
        <v>4</v>
      </c>
      <c r="J40" s="61" t="n">
        <v>5</v>
      </c>
      <c r="K40" s="61" t="n">
        <v>5</v>
      </c>
      <c r="L40" s="61" t="n">
        <v>5</v>
      </c>
      <c r="M40" s="61" t="n">
        <v>6</v>
      </c>
    </row>
    <row r="41" customFormat="false" ht="14.25" hidden="false" customHeight="true" outlineLevel="0" collapsed="false">
      <c r="A41" s="54" t="s">
        <v>247</v>
      </c>
      <c r="B41" s="49" t="n">
        <f aca="false">B40*5</f>
        <v>5</v>
      </c>
      <c r="C41" s="49" t="n">
        <f aca="false">C40*5</f>
        <v>5</v>
      </c>
      <c r="D41" s="49" t="n">
        <f aca="false">D40*5</f>
        <v>10</v>
      </c>
      <c r="E41" s="49" t="n">
        <f aca="false">E40*5</f>
        <v>15</v>
      </c>
      <c r="F41" s="49" t="n">
        <f aca="false">F40*5</f>
        <v>15</v>
      </c>
      <c r="G41" s="49" t="n">
        <f aca="false">G40*5</f>
        <v>20</v>
      </c>
      <c r="H41" s="49" t="n">
        <f aca="false">H40*5</f>
        <v>20</v>
      </c>
      <c r="I41" s="49" t="n">
        <f aca="false">I40*5</f>
        <v>20</v>
      </c>
      <c r="J41" s="49" t="n">
        <f aca="false">J40*5</f>
        <v>25</v>
      </c>
      <c r="K41" s="49" t="n">
        <f aca="false">K40*5</f>
        <v>25</v>
      </c>
      <c r="L41" s="49" t="n">
        <f aca="false">L40*5</f>
        <v>25</v>
      </c>
      <c r="M41" s="49" t="n">
        <f aca="false">M40*5</f>
        <v>30</v>
      </c>
      <c r="N41" s="49" t="n">
        <f aca="false">SUM(B41:M41)</f>
        <v>215</v>
      </c>
    </row>
    <row r="42" customFormat="false" ht="14.25" hidden="false" customHeight="true" outlineLevel="0" collapsed="false">
      <c r="A42" s="51" t="s">
        <v>248</v>
      </c>
      <c r="B42" s="34" t="n">
        <v>120</v>
      </c>
      <c r="C42" s="34" t="n">
        <v>60</v>
      </c>
      <c r="D42" s="34" t="n">
        <v>180</v>
      </c>
      <c r="E42" s="34" t="n">
        <v>120</v>
      </c>
      <c r="F42" s="34" t="n">
        <v>120</v>
      </c>
      <c r="G42" s="34" t="n">
        <v>180</v>
      </c>
      <c r="H42" s="34" t="n">
        <v>120</v>
      </c>
      <c r="I42" s="34" t="n">
        <v>60</v>
      </c>
      <c r="J42" s="34" t="n">
        <v>240</v>
      </c>
      <c r="K42" s="34" t="n">
        <v>180</v>
      </c>
      <c r="L42" s="34" t="n">
        <v>180</v>
      </c>
      <c r="M42" s="34" t="n">
        <v>120</v>
      </c>
      <c r="N42" s="49" t="n">
        <f aca="false">SUM(B42:M42)</f>
        <v>1680</v>
      </c>
    </row>
    <row r="44" customFormat="false" ht="26.25" hidden="false" customHeight="true" outlineLevel="0" collapsed="false">
      <c r="A44" s="4" t="s">
        <v>249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8"/>
    </row>
    <row r="45" customFormat="false" ht="14.25" hidden="false" customHeight="true" outlineLevel="0" collapsed="false">
      <c r="A45" s="64" t="s">
        <v>250</v>
      </c>
      <c r="B45" s="65" t="n">
        <f aca="false">B8+B9+B25+B28+B34+B39+B41+B42</f>
        <v>731.38</v>
      </c>
      <c r="C45" s="65" t="n">
        <f aca="false">C8+C9+C25+C28+C34+C39+C41+C42</f>
        <v>966.38</v>
      </c>
      <c r="D45" s="65" t="n">
        <f aca="false">D8+D9+D25+D28+D34+D39+D41+D42</f>
        <v>1875.76</v>
      </c>
      <c r="E45" s="65" t="n">
        <f aca="false">E8+E9+E25+E28+E34+E39+E41+E42</f>
        <v>1953.76</v>
      </c>
      <c r="F45" s="65" t="n">
        <f aca="false">F8+F9+F25+F28+F34+F39+F41+F42</f>
        <v>2442.76</v>
      </c>
      <c r="G45" s="65" t="n">
        <f aca="false">G8+G9+G25+G28+G34+G39+G41+G42</f>
        <v>2951.76</v>
      </c>
      <c r="H45" s="65" t="n">
        <f aca="false">H8+H9+H25+H28+H34+H39+H41+H42</f>
        <v>2923.14</v>
      </c>
      <c r="I45" s="65" t="n">
        <f aca="false">I8+I9+I25+I28+I34+I39+I41+I42</f>
        <v>2500.14</v>
      </c>
      <c r="J45" s="65" t="n">
        <f aca="false">J8+J9+J25+J28+J34+J39+J41+J42</f>
        <v>4045.52</v>
      </c>
      <c r="K45" s="65" t="n">
        <f aca="false">K8+K9+K25+K28+K34+K39+K41+K42</f>
        <v>4376.52</v>
      </c>
      <c r="L45" s="65" t="n">
        <f aca="false">L8+L9+L25+L28+L34+L39+L41+L42</f>
        <v>5081.9</v>
      </c>
      <c r="M45" s="65" t="n">
        <f aca="false">M8+M9+M25+M28+M34+M39+M41+M42</f>
        <v>5240.9</v>
      </c>
      <c r="N45" s="65" t="n">
        <f aca="false">SUM(B45:M45)</f>
        <v>35089.92</v>
      </c>
    </row>
    <row r="46" customFormat="false" ht="14.25" hidden="false" customHeight="true" outlineLevel="0" collapsed="false">
      <c r="A46" s="1" t="s">
        <v>251</v>
      </c>
    </row>
  </sheetData>
  <mergeCells count="6">
    <mergeCell ref="A1:N1"/>
    <mergeCell ref="A2:N2"/>
    <mergeCell ref="A4:N4"/>
    <mergeCell ref="A14:N14"/>
    <mergeCell ref="A29:N29"/>
    <mergeCell ref="A37:N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33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9.09375" defaultRowHeight="14.25" zeroHeight="false" outlineLevelRow="0" outlineLevelCol="0"/>
  <cols>
    <col collapsed="false" customWidth="true" hidden="false" outlineLevel="0" max="1" min="1" style="1" width="40"/>
    <col collapsed="false" customWidth="true" hidden="false" outlineLevel="0" max="13" min="2" style="1" width="10"/>
    <col collapsed="false" customWidth="true" hidden="false" outlineLevel="0" max="14" min="14" style="1" width="13"/>
  </cols>
  <sheetData>
    <row r="1" customFormat="false" ht="27.75" hidden="false" customHeight="true" outlineLevel="0" collapsed="false">
      <c r="A1" s="2" t="s">
        <v>252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true" outlineLevel="0" collapsed="false">
      <c r="A2" s="3" t="s">
        <v>253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4.25" hidden="false" customHeight="true" outlineLevel="0" collapsed="false">
      <c r="A4" s="66" t="s">
        <v>254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</row>
    <row r="5" customFormat="false" ht="14.25" hidden="false" customHeight="true" outlineLevel="0" collapsed="false">
      <c r="A5" s="67" t="s">
        <v>204</v>
      </c>
      <c r="B5" s="68" t="s">
        <v>205</v>
      </c>
      <c r="C5" s="68" t="s">
        <v>206</v>
      </c>
      <c r="D5" s="68" t="s">
        <v>207</v>
      </c>
      <c r="E5" s="68" t="s">
        <v>208</v>
      </c>
      <c r="F5" s="68" t="s">
        <v>209</v>
      </c>
      <c r="G5" s="68" t="s">
        <v>210</v>
      </c>
      <c r="H5" s="68" t="s">
        <v>211</v>
      </c>
      <c r="I5" s="68" t="s">
        <v>212</v>
      </c>
      <c r="J5" s="68" t="s">
        <v>213</v>
      </c>
      <c r="K5" s="68" t="s">
        <v>214</v>
      </c>
      <c r="L5" s="68" t="s">
        <v>215</v>
      </c>
      <c r="M5" s="68" t="s">
        <v>216</v>
      </c>
      <c r="N5" s="68" t="s">
        <v>217</v>
      </c>
    </row>
    <row r="6" customFormat="false" ht="14.25" hidden="false" customHeight="true" outlineLevel="0" collapsed="false">
      <c r="A6" s="10" t="s">
        <v>169</v>
      </c>
      <c r="B6" s="34" t="n">
        <v>250</v>
      </c>
      <c r="C6" s="34" t="n">
        <v>250</v>
      </c>
      <c r="D6" s="34" t="n">
        <v>250</v>
      </c>
      <c r="E6" s="34" t="n">
        <v>250</v>
      </c>
      <c r="F6" s="34" t="n">
        <v>250</v>
      </c>
      <c r="G6" s="34" t="n">
        <v>250</v>
      </c>
      <c r="H6" s="34" t="n">
        <v>1950</v>
      </c>
      <c r="I6" s="34" t="n">
        <v>1950</v>
      </c>
      <c r="J6" s="34" t="n">
        <v>1950</v>
      </c>
      <c r="K6" s="34" t="n">
        <v>1950</v>
      </c>
      <c r="L6" s="34" t="n">
        <v>1950</v>
      </c>
      <c r="M6" s="34" t="n">
        <v>1950</v>
      </c>
      <c r="N6" s="49" t="n">
        <f aca="false">SUM(B6:M6)</f>
        <v>13200</v>
      </c>
    </row>
    <row r="8" customFormat="false" ht="14.25" hidden="false" customHeight="true" outlineLevel="0" collapsed="false">
      <c r="A8" s="66" t="s">
        <v>255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</row>
    <row r="9" customFormat="false" ht="14.25" hidden="false" customHeight="true" outlineLevel="0" collapsed="false">
      <c r="A9" s="67" t="s">
        <v>204</v>
      </c>
      <c r="B9" s="68" t="s">
        <v>205</v>
      </c>
      <c r="C9" s="68" t="s">
        <v>206</v>
      </c>
      <c r="D9" s="68" t="s">
        <v>207</v>
      </c>
      <c r="E9" s="68" t="s">
        <v>208</v>
      </c>
      <c r="F9" s="68" t="s">
        <v>209</v>
      </c>
      <c r="G9" s="68" t="s">
        <v>210</v>
      </c>
      <c r="H9" s="68" t="s">
        <v>211</v>
      </c>
      <c r="I9" s="68" t="s">
        <v>212</v>
      </c>
      <c r="J9" s="68" t="s">
        <v>213</v>
      </c>
      <c r="K9" s="68" t="s">
        <v>214</v>
      </c>
      <c r="L9" s="68" t="s">
        <v>215</v>
      </c>
      <c r="M9" s="68" t="s">
        <v>216</v>
      </c>
      <c r="N9" s="68" t="s">
        <v>217</v>
      </c>
    </row>
    <row r="10" customFormat="false" ht="14.25" hidden="false" customHeight="true" outlineLevel="0" collapsed="false">
      <c r="A10" s="1" t="s">
        <v>256</v>
      </c>
      <c r="B10" s="34" t="n">
        <v>25</v>
      </c>
      <c r="C10" s="34" t="n">
        <v>25</v>
      </c>
      <c r="D10" s="34" t="n">
        <v>25</v>
      </c>
      <c r="E10" s="34" t="n">
        <v>25</v>
      </c>
      <c r="F10" s="34" t="n">
        <v>25</v>
      </c>
      <c r="G10" s="34" t="n">
        <v>25</v>
      </c>
      <c r="H10" s="34" t="n">
        <v>25</v>
      </c>
      <c r="I10" s="34" t="n">
        <v>25</v>
      </c>
      <c r="J10" s="34" t="n">
        <v>25</v>
      </c>
      <c r="K10" s="34" t="n">
        <v>25</v>
      </c>
      <c r="L10" s="34" t="n">
        <v>25</v>
      </c>
      <c r="M10" s="34" t="n">
        <v>25</v>
      </c>
      <c r="N10" s="49" t="n">
        <f aca="false">SUM(B10:M10)</f>
        <v>300</v>
      </c>
    </row>
    <row r="11" customFormat="false" ht="14.25" hidden="false" customHeight="true" outlineLevel="0" collapsed="false">
      <c r="A11" s="1" t="s">
        <v>257</v>
      </c>
      <c r="B11" s="34" t="n">
        <v>15</v>
      </c>
      <c r="C11" s="34" t="n">
        <v>15</v>
      </c>
      <c r="D11" s="34" t="n">
        <v>15</v>
      </c>
      <c r="E11" s="34" t="n">
        <v>15</v>
      </c>
      <c r="F11" s="34" t="n">
        <v>15</v>
      </c>
      <c r="G11" s="34" t="n">
        <v>15</v>
      </c>
      <c r="H11" s="34" t="n">
        <v>15</v>
      </c>
      <c r="I11" s="34" t="n">
        <v>15</v>
      </c>
      <c r="J11" s="34" t="n">
        <v>15</v>
      </c>
      <c r="K11" s="34" t="n">
        <v>15</v>
      </c>
      <c r="L11" s="34" t="n">
        <v>15</v>
      </c>
      <c r="M11" s="34" t="n">
        <v>15</v>
      </c>
      <c r="N11" s="49" t="n">
        <f aca="false">SUM(B11:M11)</f>
        <v>180</v>
      </c>
    </row>
    <row r="12" customFormat="false" ht="14.25" hidden="false" customHeight="true" outlineLevel="0" collapsed="false">
      <c r="A12" s="1" t="s">
        <v>258</v>
      </c>
      <c r="B12" s="34" t="n">
        <v>350</v>
      </c>
      <c r="C12" s="34" t="n">
        <v>350</v>
      </c>
      <c r="D12" s="34" t="n">
        <v>350</v>
      </c>
      <c r="E12" s="34" t="n">
        <v>350</v>
      </c>
      <c r="F12" s="34" t="n">
        <v>350</v>
      </c>
      <c r="G12" s="34" t="n">
        <v>350</v>
      </c>
      <c r="H12" s="34" t="n">
        <v>350</v>
      </c>
      <c r="I12" s="34" t="n">
        <v>350</v>
      </c>
      <c r="J12" s="34" t="n">
        <v>350</v>
      </c>
      <c r="K12" s="34" t="n">
        <v>350</v>
      </c>
      <c r="L12" s="34" t="n">
        <v>350</v>
      </c>
      <c r="M12" s="34" t="n">
        <v>350</v>
      </c>
      <c r="N12" s="49" t="n">
        <f aca="false">SUM(B12:M12)</f>
        <v>4200</v>
      </c>
    </row>
    <row r="14" customFormat="false" ht="14.25" hidden="false" customHeight="true" outlineLevel="0" collapsed="false">
      <c r="A14" s="66" t="s">
        <v>259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</row>
    <row r="15" customFormat="false" ht="14.25" hidden="false" customHeight="true" outlineLevel="0" collapsed="false">
      <c r="A15" s="67" t="s">
        <v>204</v>
      </c>
      <c r="B15" s="68" t="s">
        <v>205</v>
      </c>
      <c r="C15" s="68" t="s">
        <v>206</v>
      </c>
      <c r="D15" s="68" t="s">
        <v>207</v>
      </c>
      <c r="E15" s="68" t="s">
        <v>208</v>
      </c>
      <c r="F15" s="68" t="s">
        <v>209</v>
      </c>
      <c r="G15" s="68" t="s">
        <v>210</v>
      </c>
      <c r="H15" s="68" t="s">
        <v>211</v>
      </c>
      <c r="I15" s="68" t="s">
        <v>212</v>
      </c>
      <c r="J15" s="68" t="s">
        <v>213</v>
      </c>
      <c r="K15" s="68" t="s">
        <v>214</v>
      </c>
      <c r="L15" s="68" t="s">
        <v>215</v>
      </c>
      <c r="M15" s="68" t="s">
        <v>216</v>
      </c>
      <c r="N15" s="68" t="s">
        <v>217</v>
      </c>
    </row>
    <row r="16" customFormat="false" ht="14.25" hidden="false" customHeight="true" outlineLevel="0" collapsed="false">
      <c r="A16" s="1" t="s">
        <v>260</v>
      </c>
      <c r="B16" s="34" t="n">
        <v>200</v>
      </c>
      <c r="C16" s="34" t="n">
        <v>180</v>
      </c>
      <c r="D16" s="34" t="n">
        <v>150</v>
      </c>
      <c r="E16" s="34" t="n">
        <v>100</v>
      </c>
      <c r="F16" s="34" t="n">
        <v>80</v>
      </c>
      <c r="G16" s="34" t="n">
        <v>80</v>
      </c>
      <c r="H16" s="34" t="n">
        <v>80</v>
      </c>
      <c r="I16" s="34" t="n">
        <v>80</v>
      </c>
      <c r="J16" s="34" t="n">
        <v>100</v>
      </c>
      <c r="K16" s="34" t="n">
        <v>150</v>
      </c>
      <c r="L16" s="34" t="n">
        <v>200</v>
      </c>
      <c r="M16" s="34" t="n">
        <v>250</v>
      </c>
      <c r="N16" s="49" t="n">
        <f aca="false">SUM(B16:M16)</f>
        <v>1650</v>
      </c>
    </row>
    <row r="17" customFormat="false" ht="14.25" hidden="false" customHeight="true" outlineLevel="0" collapsed="false">
      <c r="A17" s="1" t="s">
        <v>261</v>
      </c>
      <c r="B17" s="34" t="n">
        <v>65</v>
      </c>
      <c r="C17" s="34" t="n">
        <v>65</v>
      </c>
      <c r="D17" s="34" t="n">
        <v>65</v>
      </c>
      <c r="E17" s="34" t="n">
        <v>65</v>
      </c>
      <c r="F17" s="34" t="n">
        <v>65</v>
      </c>
      <c r="G17" s="34" t="n">
        <v>65</v>
      </c>
      <c r="H17" s="34" t="n">
        <v>65</v>
      </c>
      <c r="I17" s="34" t="n">
        <v>65</v>
      </c>
      <c r="J17" s="34" t="n">
        <v>65</v>
      </c>
      <c r="K17" s="34" t="n">
        <v>65</v>
      </c>
      <c r="L17" s="34" t="n">
        <v>65</v>
      </c>
      <c r="M17" s="34" t="n">
        <v>65</v>
      </c>
      <c r="N17" s="49" t="n">
        <f aca="false">SUM(B17:M17)</f>
        <v>780</v>
      </c>
    </row>
    <row r="18" customFormat="false" ht="14.25" hidden="false" customHeight="true" outlineLevel="0" collapsed="false">
      <c r="A18" s="1" t="s">
        <v>262</v>
      </c>
      <c r="B18" s="34" t="n">
        <v>0</v>
      </c>
      <c r="C18" s="34" t="n">
        <v>100</v>
      </c>
      <c r="D18" s="34" t="n">
        <v>100</v>
      </c>
      <c r="E18" s="34" t="n">
        <v>100</v>
      </c>
      <c r="F18" s="34" t="n">
        <v>100</v>
      </c>
      <c r="G18" s="34" t="n">
        <v>100</v>
      </c>
      <c r="H18" s="34" t="n">
        <v>100</v>
      </c>
      <c r="I18" s="34" t="n">
        <v>100</v>
      </c>
      <c r="J18" s="34" t="n">
        <v>100</v>
      </c>
      <c r="K18" s="34" t="n">
        <v>100</v>
      </c>
      <c r="L18" s="34" t="n">
        <v>100</v>
      </c>
      <c r="M18" s="34" t="n">
        <v>100</v>
      </c>
      <c r="N18" s="49" t="n">
        <f aca="false">SUM(B18:M18)</f>
        <v>1100</v>
      </c>
    </row>
    <row r="20" customFormat="false" ht="14.25" hidden="false" customHeight="true" outlineLevel="0" collapsed="false">
      <c r="A20" s="66" t="s">
        <v>263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</row>
    <row r="21" customFormat="false" ht="14.25" hidden="false" customHeight="true" outlineLevel="0" collapsed="false">
      <c r="A21" s="67" t="s">
        <v>204</v>
      </c>
      <c r="B21" s="68" t="s">
        <v>205</v>
      </c>
      <c r="C21" s="68" t="s">
        <v>206</v>
      </c>
      <c r="D21" s="68" t="s">
        <v>207</v>
      </c>
      <c r="E21" s="68" t="s">
        <v>208</v>
      </c>
      <c r="F21" s="68" t="s">
        <v>209</v>
      </c>
      <c r="G21" s="68" t="s">
        <v>210</v>
      </c>
      <c r="H21" s="68" t="s">
        <v>211</v>
      </c>
      <c r="I21" s="68" t="s">
        <v>212</v>
      </c>
      <c r="J21" s="68" t="s">
        <v>213</v>
      </c>
      <c r="K21" s="68" t="s">
        <v>214</v>
      </c>
      <c r="L21" s="68" t="s">
        <v>215</v>
      </c>
      <c r="M21" s="68" t="s">
        <v>216</v>
      </c>
      <c r="N21" s="68" t="s">
        <v>217</v>
      </c>
    </row>
    <row r="22" customFormat="false" ht="14.25" hidden="false" customHeight="true" outlineLevel="0" collapsed="false">
      <c r="A22" s="1" t="s">
        <v>264</v>
      </c>
      <c r="B22" s="39" t="n">
        <v>51.38</v>
      </c>
      <c r="C22" s="39" t="n">
        <v>44.86</v>
      </c>
      <c r="D22" s="39" t="n">
        <v>44.86</v>
      </c>
      <c r="E22" s="39" t="n">
        <v>44.86</v>
      </c>
      <c r="F22" s="39" t="n">
        <v>44.86</v>
      </c>
      <c r="G22" s="39" t="n">
        <v>44.86</v>
      </c>
      <c r="H22" s="39" t="n">
        <v>44.86</v>
      </c>
      <c r="I22" s="39" t="n">
        <v>44.86</v>
      </c>
      <c r="J22" s="39" t="n">
        <v>44.86</v>
      </c>
      <c r="K22" s="39" t="n">
        <v>44.86</v>
      </c>
      <c r="L22" s="39" t="n">
        <v>44.86</v>
      </c>
      <c r="M22" s="39" t="n">
        <v>44.86</v>
      </c>
      <c r="N22" s="40" t="n">
        <f aca="false">SUM(B22:M22)</f>
        <v>544.84</v>
      </c>
    </row>
    <row r="24" customFormat="false" ht="14.25" hidden="false" customHeight="true" outlineLevel="0" collapsed="false">
      <c r="A24" s="66" t="s">
        <v>265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</row>
    <row r="25" customFormat="false" ht="14.25" hidden="false" customHeight="true" outlineLevel="0" collapsed="false">
      <c r="A25" s="67" t="s">
        <v>204</v>
      </c>
      <c r="B25" s="68" t="s">
        <v>205</v>
      </c>
      <c r="C25" s="68" t="s">
        <v>206</v>
      </c>
      <c r="D25" s="68" t="s">
        <v>207</v>
      </c>
      <c r="E25" s="68" t="s">
        <v>208</v>
      </c>
      <c r="F25" s="68" t="s">
        <v>209</v>
      </c>
      <c r="G25" s="68" t="s">
        <v>210</v>
      </c>
      <c r="H25" s="68" t="s">
        <v>211</v>
      </c>
      <c r="I25" s="68" t="s">
        <v>212</v>
      </c>
      <c r="J25" s="68" t="s">
        <v>213</v>
      </c>
      <c r="K25" s="68" t="s">
        <v>214</v>
      </c>
      <c r="L25" s="68" t="s">
        <v>215</v>
      </c>
      <c r="M25" s="68" t="s">
        <v>216</v>
      </c>
      <c r="N25" s="68" t="s">
        <v>217</v>
      </c>
    </row>
    <row r="26" customFormat="false" ht="14.25" hidden="false" customHeight="true" outlineLevel="0" collapsed="false">
      <c r="A26" s="1" t="s">
        <v>266</v>
      </c>
      <c r="B26" s="34" t="n">
        <v>0</v>
      </c>
      <c r="C26" s="34" t="n">
        <v>0</v>
      </c>
      <c r="D26" s="34" t="n">
        <v>0</v>
      </c>
      <c r="E26" s="34" t="n">
        <v>0</v>
      </c>
      <c r="F26" s="34" t="n">
        <v>0</v>
      </c>
      <c r="G26" s="34" t="n">
        <v>0</v>
      </c>
      <c r="H26" s="34" t="n">
        <v>80</v>
      </c>
      <c r="I26" s="34" t="n">
        <v>80</v>
      </c>
      <c r="J26" s="34" t="n">
        <v>80</v>
      </c>
      <c r="K26" s="34" t="n">
        <v>80</v>
      </c>
      <c r="L26" s="34" t="n">
        <v>80</v>
      </c>
      <c r="M26" s="34" t="n">
        <v>80</v>
      </c>
      <c r="N26" s="49" t="n">
        <f aca="false">SUM(B26:M26)</f>
        <v>480</v>
      </c>
    </row>
    <row r="27" customFormat="false" ht="14.25" hidden="false" customHeight="true" outlineLevel="0" collapsed="false">
      <c r="A27" s="1" t="s">
        <v>267</v>
      </c>
      <c r="B27" s="34" t="n">
        <v>100</v>
      </c>
      <c r="C27" s="34" t="n">
        <v>200</v>
      </c>
      <c r="D27" s="34" t="n">
        <v>200</v>
      </c>
      <c r="E27" s="34" t="n">
        <v>150</v>
      </c>
      <c r="F27" s="34" t="n">
        <v>100</v>
      </c>
      <c r="G27" s="34" t="n">
        <v>50</v>
      </c>
      <c r="H27" s="34" t="n">
        <v>0</v>
      </c>
      <c r="I27" s="34" t="n">
        <v>0</v>
      </c>
      <c r="J27" s="34" t="n">
        <v>100</v>
      </c>
      <c r="K27" s="34" t="n">
        <v>100</v>
      </c>
      <c r="L27" s="34" t="n">
        <v>50</v>
      </c>
      <c r="M27" s="34" t="n">
        <v>50</v>
      </c>
      <c r="N27" s="49" t="n">
        <f aca="false">SUM(B27:M27)</f>
        <v>1100</v>
      </c>
    </row>
    <row r="28" customFormat="false" ht="14.25" hidden="false" customHeight="true" outlineLevel="0" collapsed="false">
      <c r="A28" s="1" t="s">
        <v>268</v>
      </c>
      <c r="B28" s="21" t="n">
        <f aca="false">'🎪 Animations'!B18</f>
        <v>50</v>
      </c>
      <c r="C28" s="21" t="n">
        <f aca="false">'🎪 Animations'!C18</f>
        <v>50</v>
      </c>
      <c r="D28" s="21" t="n">
        <f aca="false">'🎪 Animations'!D18</f>
        <v>100</v>
      </c>
      <c r="E28" s="21" t="n">
        <f aca="false">'🎪 Animations'!E18</f>
        <v>80</v>
      </c>
      <c r="F28" s="21" t="n">
        <f aca="false">'🎪 Animations'!F18</f>
        <v>80</v>
      </c>
      <c r="G28" s="21" t="n">
        <f aca="false">'🎪 Animations'!G18</f>
        <v>80</v>
      </c>
      <c r="H28" s="21" t="n">
        <f aca="false">'🎪 Animations'!H18</f>
        <v>50</v>
      </c>
      <c r="I28" s="21" t="n">
        <f aca="false">'🎪 Animations'!I18</f>
        <v>0</v>
      </c>
      <c r="J28" s="21" t="n">
        <f aca="false">'🎪 Animations'!J18</f>
        <v>100</v>
      </c>
      <c r="K28" s="21" t="n">
        <f aca="false">'🎪 Animations'!K18</f>
        <v>100</v>
      </c>
      <c r="L28" s="21" t="n">
        <f aca="false">'🎪 Animations'!L18</f>
        <v>100</v>
      </c>
      <c r="M28" s="21" t="n">
        <f aca="false">'🎪 Animations'!M18</f>
        <v>100</v>
      </c>
      <c r="N28" s="49" t="n">
        <f aca="false">SUM(B28:M28)</f>
        <v>890</v>
      </c>
    </row>
    <row r="29" customFormat="false" ht="14.25" hidden="false" customHeight="true" outlineLevel="0" collapsed="false">
      <c r="A29" s="1" t="s">
        <v>269</v>
      </c>
      <c r="B29" s="34" t="n">
        <v>60</v>
      </c>
      <c r="C29" s="34" t="n">
        <v>60</v>
      </c>
      <c r="D29" s="34" t="n">
        <v>60</v>
      </c>
      <c r="E29" s="34" t="n">
        <v>60</v>
      </c>
      <c r="F29" s="34" t="n">
        <v>60</v>
      </c>
      <c r="G29" s="34" t="n">
        <v>60</v>
      </c>
      <c r="H29" s="34" t="n">
        <v>60</v>
      </c>
      <c r="I29" s="34" t="n">
        <v>60</v>
      </c>
      <c r="J29" s="34" t="n">
        <v>60</v>
      </c>
      <c r="K29" s="34" t="n">
        <v>60</v>
      </c>
      <c r="L29" s="34" t="n">
        <v>60</v>
      </c>
      <c r="M29" s="34" t="n">
        <v>60</v>
      </c>
      <c r="N29" s="49" t="n">
        <f aca="false">SUM(B29:M29)</f>
        <v>720</v>
      </c>
    </row>
    <row r="30" customFormat="false" ht="14.25" hidden="false" customHeight="true" outlineLevel="0" collapsed="false">
      <c r="A30" s="1" t="s">
        <v>270</v>
      </c>
      <c r="B30" s="34" t="n">
        <v>50</v>
      </c>
      <c r="C30" s="34" t="n">
        <v>50</v>
      </c>
      <c r="D30" s="34" t="n">
        <v>50</v>
      </c>
      <c r="E30" s="34" t="n">
        <v>50</v>
      </c>
      <c r="F30" s="34" t="n">
        <v>50</v>
      </c>
      <c r="G30" s="34" t="n">
        <v>50</v>
      </c>
      <c r="H30" s="34" t="n">
        <v>50</v>
      </c>
      <c r="I30" s="34" t="n">
        <v>50</v>
      </c>
      <c r="J30" s="34" t="n">
        <v>50</v>
      </c>
      <c r="K30" s="34" t="n">
        <v>50</v>
      </c>
      <c r="L30" s="34" t="n">
        <v>50</v>
      </c>
      <c r="M30" s="34" t="n">
        <v>50</v>
      </c>
      <c r="N30" s="49" t="n">
        <f aca="false">SUM(B30:M30)</f>
        <v>600</v>
      </c>
    </row>
    <row r="32" customFormat="false" ht="13.5" hidden="false" customHeight="true" outlineLevel="0" collapsed="false">
      <c r="A32" s="66" t="s">
        <v>271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</row>
    <row r="33" customFormat="false" ht="14.25" hidden="false" customHeight="true" outlineLevel="0" collapsed="false">
      <c r="A33" s="64" t="s">
        <v>272</v>
      </c>
      <c r="B33" s="65" t="n">
        <f aca="false">B6+B10+B11+B12+B16+B17+B18+B22+B26+B27+B28+B29+B30</f>
        <v>1216.38</v>
      </c>
      <c r="C33" s="65" t="n">
        <f aca="false">C6+C10+C11+C12+C16+C17+C18+C22+C26+C27+C28+C29+C30</f>
        <v>1389.86</v>
      </c>
      <c r="D33" s="65" t="n">
        <f aca="false">D6+D10+D11+D12+D16+D17+D18+D22+D26+D27+D28+D29+D30</f>
        <v>1409.86</v>
      </c>
      <c r="E33" s="65" t="n">
        <f aca="false">E6+E10+E11+E12+E16+E17+E18+E22+E26+E27+E28+E29+E30</f>
        <v>1289.86</v>
      </c>
      <c r="F33" s="65" t="n">
        <f aca="false">F6+F10+F11+F12+F16+F17+F18+F22+F26+F27+F28+F29+F30</f>
        <v>1219.86</v>
      </c>
      <c r="G33" s="65" t="n">
        <f aca="false">G6+G10+G11+G12+G16+G17+G18+G22+G26+G27+G28+G29+G30</f>
        <v>1169.86</v>
      </c>
      <c r="H33" s="65" t="n">
        <f aca="false">H6+H10+H11+H12+H16+H17+H18+H22+H26+H27+H28+H29+H30</f>
        <v>2869.86</v>
      </c>
      <c r="I33" s="65" t="n">
        <f aca="false">I6+I10+I11+I12+I16+I17+I18+I22+I26+I27+I28+I29+I30</f>
        <v>2819.86</v>
      </c>
      <c r="J33" s="65" t="n">
        <f aca="false">J6+J10+J11+J12+J16+J17+J18+J22+J26+J27+J28+J29+J30</f>
        <v>3039.86</v>
      </c>
      <c r="K33" s="65" t="n">
        <f aca="false">K6+K10+K11+K12+K16+K17+K18+K22+K26+K27+K28+K29+K30</f>
        <v>3089.86</v>
      </c>
      <c r="L33" s="65" t="n">
        <f aca="false">L6+L10+L11+L12+L16+L17+L18+L22+L26+L27+L28+L29+L30</f>
        <v>3089.86</v>
      </c>
      <c r="M33" s="65" t="n">
        <f aca="false">M6+M10+M11+M12+M16+M17+M18+M22+M26+M27+M28+M29+M30</f>
        <v>3139.86</v>
      </c>
      <c r="N33" s="65" t="n">
        <f aca="false">SUM(B33:M33)</f>
        <v>25744.84</v>
      </c>
    </row>
  </sheetData>
  <mergeCells count="8">
    <mergeCell ref="A1:N1"/>
    <mergeCell ref="A2:N2"/>
    <mergeCell ref="A4:N4"/>
    <mergeCell ref="A8:N8"/>
    <mergeCell ref="A14:N14"/>
    <mergeCell ref="A20:N20"/>
    <mergeCell ref="A24:N24"/>
    <mergeCell ref="A32:N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9375" defaultRowHeight="14.2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0"/>
    <col collapsed="false" customWidth="true" hidden="false" outlineLevel="0" max="6" min="6" style="1" width="15.63"/>
    <col collapsed="false" customWidth="true" hidden="false" outlineLevel="0" max="13" min="7" style="1" width="10"/>
    <col collapsed="false" customWidth="true" hidden="false" outlineLevel="0" max="14" min="14" style="1" width="13"/>
  </cols>
  <sheetData>
    <row r="1" customFormat="false" ht="27.75" hidden="false" customHeight="true" outlineLevel="0" collapsed="false">
      <c r="A1" s="2" t="s">
        <v>273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true" outlineLevel="0" collapsed="false">
      <c r="A2" s="3" t="s">
        <v>274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4.25" hidden="false" customHeight="true" outlineLevel="0" collapsed="false">
      <c r="A4" s="69" t="s">
        <v>275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</row>
    <row r="5" customFormat="false" ht="26.25" hidden="false" customHeight="true" outlineLevel="0" collapsed="false">
      <c r="A5" s="68" t="s">
        <v>276</v>
      </c>
      <c r="B5" s="68" t="s">
        <v>277</v>
      </c>
      <c r="C5" s="68" t="s">
        <v>278</v>
      </c>
      <c r="D5" s="68" t="s">
        <v>279</v>
      </c>
      <c r="E5" s="68" t="s">
        <v>280</v>
      </c>
      <c r="F5" s="68" t="s">
        <v>281</v>
      </c>
    </row>
    <row r="6" customFormat="false" ht="38.25" hidden="false" customHeight="true" outlineLevel="0" collapsed="false">
      <c r="A6" s="10" t="s">
        <v>282</v>
      </c>
      <c r="B6" s="35" t="s">
        <v>283</v>
      </c>
      <c r="C6" s="35" t="s">
        <v>284</v>
      </c>
      <c r="D6" s="35" t="s">
        <v>285</v>
      </c>
      <c r="E6" s="34" t="n">
        <v>45</v>
      </c>
      <c r="F6" s="10" t="s">
        <v>286</v>
      </c>
    </row>
    <row r="7" customFormat="false" ht="51" hidden="false" customHeight="true" outlineLevel="0" collapsed="false">
      <c r="A7" s="10" t="s">
        <v>287</v>
      </c>
      <c r="B7" s="35" t="s">
        <v>288</v>
      </c>
      <c r="C7" s="35" t="s">
        <v>289</v>
      </c>
      <c r="D7" s="35" t="s">
        <v>290</v>
      </c>
      <c r="E7" s="34" t="n">
        <v>45</v>
      </c>
      <c r="F7" s="10" t="s">
        <v>291</v>
      </c>
    </row>
    <row r="8" customFormat="false" ht="38.25" hidden="false" customHeight="true" outlineLevel="0" collapsed="false">
      <c r="A8" s="10" t="s">
        <v>292</v>
      </c>
      <c r="B8" s="35" t="s">
        <v>293</v>
      </c>
      <c r="C8" s="35" t="s">
        <v>294</v>
      </c>
      <c r="D8" s="35" t="s">
        <v>285</v>
      </c>
      <c r="E8" s="34" t="n">
        <v>105</v>
      </c>
      <c r="F8" s="10" t="s">
        <v>295</v>
      </c>
    </row>
    <row r="9" customFormat="false" ht="38.25" hidden="false" customHeight="true" outlineLevel="0" collapsed="false">
      <c r="A9" s="10" t="s">
        <v>296</v>
      </c>
      <c r="B9" s="35" t="s">
        <v>293</v>
      </c>
      <c r="C9" s="35" t="s">
        <v>294</v>
      </c>
      <c r="D9" s="35" t="s">
        <v>297</v>
      </c>
      <c r="E9" s="34" t="n">
        <v>105</v>
      </c>
      <c r="F9" s="10" t="s">
        <v>298</v>
      </c>
    </row>
    <row r="10" customFormat="false" ht="38.25" hidden="false" customHeight="true" outlineLevel="0" collapsed="false">
      <c r="A10" s="10" t="s">
        <v>299</v>
      </c>
      <c r="B10" s="35" t="s">
        <v>300</v>
      </c>
      <c r="C10" s="35" t="s">
        <v>284</v>
      </c>
      <c r="D10" s="35" t="s">
        <v>301</v>
      </c>
      <c r="E10" s="34" t="n">
        <v>100</v>
      </c>
      <c r="F10" s="10" t="s">
        <v>302</v>
      </c>
    </row>
    <row r="11" customFormat="false" ht="51" hidden="false" customHeight="true" outlineLevel="0" collapsed="false">
      <c r="A11" s="10" t="s">
        <v>303</v>
      </c>
      <c r="B11" s="35" t="s">
        <v>293</v>
      </c>
      <c r="C11" s="35" t="s">
        <v>304</v>
      </c>
      <c r="D11" s="35" t="s">
        <v>301</v>
      </c>
      <c r="E11" s="34" t="n">
        <v>30</v>
      </c>
      <c r="F11" s="10" t="s">
        <v>305</v>
      </c>
    </row>
    <row r="14" customFormat="false" ht="14.25" hidden="false" customHeight="true" outlineLevel="0" collapsed="false">
      <c r="A14" s="69" t="s">
        <v>306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</row>
    <row r="15" customFormat="false" ht="14.25" hidden="false" customHeight="true" outlineLevel="0" collapsed="false">
      <c r="A15" s="67" t="s">
        <v>204</v>
      </c>
      <c r="B15" s="68" t="s">
        <v>205</v>
      </c>
      <c r="C15" s="68" t="s">
        <v>206</v>
      </c>
      <c r="D15" s="68" t="s">
        <v>207</v>
      </c>
      <c r="E15" s="68" t="s">
        <v>208</v>
      </c>
      <c r="F15" s="68" t="s">
        <v>209</v>
      </c>
      <c r="G15" s="68" t="s">
        <v>210</v>
      </c>
      <c r="H15" s="68" t="s">
        <v>211</v>
      </c>
      <c r="I15" s="68" t="s">
        <v>212</v>
      </c>
      <c r="J15" s="68" t="s">
        <v>213</v>
      </c>
      <c r="K15" s="68" t="s">
        <v>214</v>
      </c>
      <c r="L15" s="68" t="s">
        <v>215</v>
      </c>
      <c r="M15" s="68" t="s">
        <v>216</v>
      </c>
      <c r="N15" s="68" t="s">
        <v>217</v>
      </c>
    </row>
    <row r="16" customFormat="false" ht="14.25" hidden="false" customHeight="true" outlineLevel="0" collapsed="false">
      <c r="A16" s="1" t="s">
        <v>307</v>
      </c>
      <c r="B16" s="34" t="n">
        <v>50</v>
      </c>
      <c r="C16" s="34" t="n">
        <v>50</v>
      </c>
      <c r="D16" s="34" t="n">
        <v>100</v>
      </c>
      <c r="E16" s="34" t="n">
        <v>80</v>
      </c>
      <c r="F16" s="34" t="n">
        <v>80</v>
      </c>
      <c r="G16" s="34" t="n">
        <v>80</v>
      </c>
      <c r="H16" s="34" t="n">
        <v>50</v>
      </c>
      <c r="I16" s="34" t="n">
        <v>0</v>
      </c>
      <c r="J16" s="34" t="n">
        <v>100</v>
      </c>
      <c r="K16" s="34" t="n">
        <v>100</v>
      </c>
      <c r="L16" s="34" t="n">
        <v>100</v>
      </c>
      <c r="M16" s="34" t="n">
        <v>100</v>
      </c>
      <c r="N16" s="49" t="n">
        <f aca="false">SUM(B16:M16)</f>
        <v>890</v>
      </c>
    </row>
    <row r="17" customFormat="false" ht="23.25" hidden="false" customHeight="true" outlineLevel="0" collapsed="false">
      <c r="A17" s="1" t="s">
        <v>308</v>
      </c>
      <c r="B17" s="36" t="s">
        <v>309</v>
      </c>
      <c r="C17" s="36"/>
      <c r="D17" s="36"/>
      <c r="E17" s="36"/>
      <c r="F17" s="36"/>
      <c r="G17" s="36"/>
      <c r="H17" s="36"/>
      <c r="I17" s="36" t="s">
        <v>310</v>
      </c>
      <c r="J17" s="36" t="s">
        <v>311</v>
      </c>
      <c r="K17" s="36"/>
      <c r="L17" s="36"/>
      <c r="M17" s="36"/>
    </row>
    <row r="18" customFormat="false" ht="14.25" hidden="false" customHeight="true" outlineLevel="0" collapsed="false">
      <c r="A18" s="64" t="s">
        <v>312</v>
      </c>
      <c r="B18" s="65" t="n">
        <f aca="false">B16</f>
        <v>50</v>
      </c>
      <c r="C18" s="65" t="n">
        <f aca="false">C16</f>
        <v>50</v>
      </c>
      <c r="D18" s="65" t="n">
        <f aca="false">D16</f>
        <v>100</v>
      </c>
      <c r="E18" s="65" t="n">
        <f aca="false">E16</f>
        <v>80</v>
      </c>
      <c r="F18" s="65" t="n">
        <f aca="false">F16</f>
        <v>80</v>
      </c>
      <c r="G18" s="65" t="n">
        <f aca="false">G16</f>
        <v>80</v>
      </c>
      <c r="H18" s="65" t="n">
        <f aca="false">H16</f>
        <v>50</v>
      </c>
      <c r="I18" s="65" t="n">
        <f aca="false">I16</f>
        <v>0</v>
      </c>
      <c r="J18" s="65" t="n">
        <f aca="false">J16</f>
        <v>100</v>
      </c>
      <c r="K18" s="65" t="n">
        <f aca="false">K16</f>
        <v>100</v>
      </c>
      <c r="L18" s="65" t="n">
        <f aca="false">L16</f>
        <v>100</v>
      </c>
      <c r="M18" s="65" t="n">
        <f aca="false">M16</f>
        <v>100</v>
      </c>
      <c r="N18" s="65" t="n">
        <f aca="false">SUM(B18:M18)</f>
        <v>890</v>
      </c>
    </row>
    <row r="20" customFormat="false" ht="14.25" hidden="false" customHeight="true" outlineLevel="0" collapsed="false">
      <c r="A20" s="69" t="s">
        <v>313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</row>
    <row r="21" customFormat="false" ht="14.25" hidden="false" customHeight="true" outlineLevel="0" collapsed="false">
      <c r="A21" s="5" t="s">
        <v>314</v>
      </c>
      <c r="B21" s="5"/>
      <c r="C21" s="5"/>
      <c r="D21" s="10" t="s">
        <v>315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customFormat="false" ht="14.25" hidden="false" customHeight="true" outlineLevel="0" collapsed="false">
      <c r="A22" s="5" t="s">
        <v>316</v>
      </c>
      <c r="B22" s="5"/>
      <c r="C22" s="5"/>
      <c r="D22" s="10" t="s">
        <v>317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customFormat="false" ht="14.25" hidden="false" customHeight="true" outlineLevel="0" collapsed="false">
      <c r="A23" s="5" t="s">
        <v>318</v>
      </c>
      <c r="B23" s="5"/>
      <c r="C23" s="5"/>
      <c r="D23" s="10" t="s">
        <v>287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customFormat="false" ht="14.25" hidden="false" customHeight="true" outlineLevel="0" collapsed="false">
      <c r="A24" s="5" t="s">
        <v>319</v>
      </c>
      <c r="B24" s="5"/>
      <c r="C24" s="5"/>
      <c r="D24" s="10" t="s">
        <v>320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</row>
  </sheetData>
  <mergeCells count="13">
    <mergeCell ref="A1:N1"/>
    <mergeCell ref="A2:N2"/>
    <mergeCell ref="A4:N4"/>
    <mergeCell ref="A14:N14"/>
    <mergeCell ref="A20:N20"/>
    <mergeCell ref="A21:C21"/>
    <mergeCell ref="D21:N21"/>
    <mergeCell ref="A22:C22"/>
    <mergeCell ref="D22:N22"/>
    <mergeCell ref="A23:C23"/>
    <mergeCell ref="D23:N23"/>
    <mergeCell ref="A24:C24"/>
    <mergeCell ref="D24:N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9375" defaultRowHeight="14.25" zeroHeight="false" outlineLevelRow="0" outlineLevelCol="0"/>
  <cols>
    <col collapsed="false" customWidth="true" hidden="false" outlineLevel="0" max="1" min="1" style="1" width="40"/>
    <col collapsed="false" customWidth="true" hidden="false" outlineLevel="0" max="13" min="2" style="1" width="10"/>
    <col collapsed="false" customWidth="true" hidden="false" outlineLevel="0" max="14" min="14" style="1" width="13"/>
  </cols>
  <sheetData>
    <row r="1" customFormat="false" ht="27.75" hidden="false" customHeight="true" outlineLevel="0" collapsed="false">
      <c r="A1" s="2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true" outlineLevel="0" collapsed="false">
      <c r="A2" s="3" t="s">
        <v>322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4.25" hidden="false" customHeight="true" outlineLevel="0" collapsed="false">
      <c r="A4" s="70" t="s">
        <v>323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</row>
    <row r="5" customFormat="false" ht="14.25" hidden="false" customHeight="true" outlineLevel="0" collapsed="false">
      <c r="A5" s="67" t="s">
        <v>204</v>
      </c>
      <c r="B5" s="68" t="s">
        <v>205</v>
      </c>
      <c r="C5" s="68" t="s">
        <v>206</v>
      </c>
      <c r="D5" s="68" t="s">
        <v>207</v>
      </c>
      <c r="E5" s="68" t="s">
        <v>208</v>
      </c>
      <c r="F5" s="68" t="s">
        <v>209</v>
      </c>
      <c r="G5" s="68" t="s">
        <v>210</v>
      </c>
      <c r="H5" s="68" t="s">
        <v>211</v>
      </c>
      <c r="I5" s="68" t="s">
        <v>212</v>
      </c>
      <c r="J5" s="68" t="s">
        <v>213</v>
      </c>
      <c r="K5" s="68" t="s">
        <v>214</v>
      </c>
      <c r="L5" s="68" t="s">
        <v>215</v>
      </c>
      <c r="M5" s="68" t="s">
        <v>216</v>
      </c>
      <c r="N5" s="68" t="s">
        <v>217</v>
      </c>
    </row>
    <row r="6" customFormat="false" ht="14.25" hidden="false" customHeight="true" outlineLevel="0" collapsed="false">
      <c r="A6" s="27" t="s">
        <v>324</v>
      </c>
      <c r="B6" s="21" t="n">
        <f aca="false">'💰 Revenus'!B8</f>
        <v>306</v>
      </c>
      <c r="C6" s="21" t="n">
        <f aca="false">'💰 Revenus'!C8</f>
        <v>306</v>
      </c>
      <c r="D6" s="21" t="n">
        <f aca="false">'💰 Revenus'!D8</f>
        <v>612</v>
      </c>
      <c r="E6" s="21" t="n">
        <f aca="false">'💰 Revenus'!E8</f>
        <v>612</v>
      </c>
      <c r="F6" s="21" t="n">
        <f aca="false">'💰 Revenus'!F8</f>
        <v>612</v>
      </c>
      <c r="G6" s="21" t="n">
        <f aca="false">'💰 Revenus'!G8</f>
        <v>612</v>
      </c>
      <c r="H6" s="21" t="n">
        <f aca="false">'💰 Revenus'!H8</f>
        <v>918</v>
      </c>
      <c r="I6" s="21" t="n">
        <f aca="false">'💰 Revenus'!I8</f>
        <v>918</v>
      </c>
      <c r="J6" s="21" t="n">
        <f aca="false">'💰 Revenus'!J8</f>
        <v>1224</v>
      </c>
      <c r="K6" s="21" t="n">
        <f aca="false">'💰 Revenus'!K8</f>
        <v>1224</v>
      </c>
      <c r="L6" s="21" t="n">
        <f aca="false">'💰 Revenus'!L8</f>
        <v>1530</v>
      </c>
      <c r="M6" s="21" t="n">
        <f aca="false">'💰 Revenus'!M8</f>
        <v>1530</v>
      </c>
      <c r="N6" s="49" t="n">
        <f aca="false">SUM(B6:M6)</f>
        <v>10404</v>
      </c>
    </row>
    <row r="7" customFormat="false" ht="14.25" hidden="false" customHeight="true" outlineLevel="0" collapsed="false">
      <c r="A7" s="27" t="s">
        <v>325</v>
      </c>
      <c r="B7" s="21" t="n">
        <f aca="false">'💰 Revenus'!B9</f>
        <v>70.38</v>
      </c>
      <c r="C7" s="21" t="n">
        <f aca="false">'💰 Revenus'!C9</f>
        <v>70.38</v>
      </c>
      <c r="D7" s="21" t="n">
        <f aca="false">'💰 Revenus'!D9</f>
        <v>140.76</v>
      </c>
      <c r="E7" s="21" t="n">
        <f aca="false">'💰 Revenus'!E9</f>
        <v>140.76</v>
      </c>
      <c r="F7" s="21" t="n">
        <f aca="false">'💰 Revenus'!F9</f>
        <v>140.76</v>
      </c>
      <c r="G7" s="21" t="n">
        <f aca="false">'💰 Revenus'!G9</f>
        <v>140.76</v>
      </c>
      <c r="H7" s="21" t="n">
        <f aca="false">'💰 Revenus'!H9</f>
        <v>211.14</v>
      </c>
      <c r="I7" s="21" t="n">
        <f aca="false">'💰 Revenus'!I9</f>
        <v>211.14</v>
      </c>
      <c r="J7" s="21" t="n">
        <f aca="false">'💰 Revenus'!J9</f>
        <v>281.52</v>
      </c>
      <c r="K7" s="21" t="n">
        <f aca="false">'💰 Revenus'!K9</f>
        <v>281.52</v>
      </c>
      <c r="L7" s="21" t="n">
        <f aca="false">'💰 Revenus'!L9</f>
        <v>351.9</v>
      </c>
      <c r="M7" s="21" t="n">
        <f aca="false">'💰 Revenus'!M9</f>
        <v>351.9</v>
      </c>
      <c r="N7" s="49" t="n">
        <f aca="false">SUM(B7:M7)</f>
        <v>2392.92</v>
      </c>
    </row>
    <row r="8" customFormat="false" ht="14.25" hidden="false" customHeight="true" outlineLevel="0" collapsed="false">
      <c r="A8" s="27" t="s">
        <v>326</v>
      </c>
      <c r="B8" s="21" t="n">
        <f aca="false">'💰 Revenus'!B18</f>
        <v>0</v>
      </c>
      <c r="C8" s="21" t="n">
        <f aca="false">'💰 Revenus'!C18</f>
        <v>0</v>
      </c>
      <c r="D8" s="21" t="n">
        <f aca="false">'💰 Revenus'!D18</f>
        <v>0</v>
      </c>
      <c r="E8" s="21" t="n">
        <f aca="false">'💰 Revenus'!E18</f>
        <v>0</v>
      </c>
      <c r="F8" s="21" t="n">
        <f aca="false">'💰 Revenus'!F18</f>
        <v>0</v>
      </c>
      <c r="G8" s="21" t="n">
        <f aca="false">'💰 Revenus'!G18</f>
        <v>0</v>
      </c>
      <c r="H8" s="21" t="n">
        <f aca="false">'💰 Revenus'!H18</f>
        <v>637.3</v>
      </c>
      <c r="I8" s="21" t="n">
        <f aca="false">'💰 Revenus'!I18</f>
        <v>637.3</v>
      </c>
      <c r="J8" s="21" t="n">
        <f aca="false">'💰 Revenus'!J18</f>
        <v>637.3</v>
      </c>
      <c r="K8" s="21" t="n">
        <f aca="false">'💰 Revenus'!K18</f>
        <v>637.3</v>
      </c>
      <c r="L8" s="21" t="n">
        <f aca="false">'💰 Revenus'!L18</f>
        <v>637.3</v>
      </c>
      <c r="M8" s="21" t="n">
        <f aca="false">'💰 Revenus'!M18</f>
        <v>637.3</v>
      </c>
      <c r="N8" s="49" t="n">
        <f aca="false">SUM(B8:M8)</f>
        <v>3823.8</v>
      </c>
    </row>
    <row r="9" customFormat="false" ht="14.25" hidden="false" customHeight="true" outlineLevel="0" collapsed="false">
      <c r="A9" s="27" t="s">
        <v>327</v>
      </c>
      <c r="B9" s="21" t="n">
        <f aca="false">'💰 Revenus'!B21</f>
        <v>0</v>
      </c>
      <c r="C9" s="21" t="n">
        <f aca="false">'💰 Revenus'!C21</f>
        <v>0</v>
      </c>
      <c r="D9" s="21" t="n">
        <f aca="false">'💰 Revenus'!D21</f>
        <v>0</v>
      </c>
      <c r="E9" s="21" t="n">
        <f aca="false">'💰 Revenus'!E21</f>
        <v>0</v>
      </c>
      <c r="F9" s="21" t="n">
        <f aca="false">'💰 Revenus'!F21</f>
        <v>0</v>
      </c>
      <c r="G9" s="21" t="n">
        <f aca="false">'💰 Revenus'!G21</f>
        <v>0</v>
      </c>
      <c r="H9" s="21" t="n">
        <f aca="false">'💰 Revenus'!H21</f>
        <v>0</v>
      </c>
      <c r="I9" s="21" t="n">
        <f aca="false">'💰 Revenus'!I21</f>
        <v>0</v>
      </c>
      <c r="J9" s="21" t="n">
        <f aca="false">'💰 Revenus'!J21</f>
        <v>0</v>
      </c>
      <c r="K9" s="21" t="n">
        <f aca="false">'💰 Revenus'!K21</f>
        <v>0</v>
      </c>
      <c r="L9" s="21" t="n">
        <f aca="false">'💰 Revenus'!L21</f>
        <v>0</v>
      </c>
      <c r="M9" s="21" t="n">
        <f aca="false">'💰 Revenus'!M21</f>
        <v>0</v>
      </c>
      <c r="N9" s="49" t="n">
        <f aca="false">SUM(B9:M9)</f>
        <v>0</v>
      </c>
    </row>
    <row r="10" customFormat="false" ht="14.25" hidden="false" customHeight="true" outlineLevel="0" collapsed="false">
      <c r="A10" s="27" t="s">
        <v>328</v>
      </c>
      <c r="B10" s="21" t="n">
        <f aca="false">'💰 Revenus'!B27</f>
        <v>180</v>
      </c>
      <c r="C10" s="21" t="n">
        <f aca="false">'💰 Revenus'!C27</f>
        <v>180</v>
      </c>
      <c r="D10" s="21" t="n">
        <f aca="false">'💰 Revenus'!D27</f>
        <v>180</v>
      </c>
      <c r="E10" s="21" t="n">
        <f aca="false">'💰 Revenus'!E27</f>
        <v>180</v>
      </c>
      <c r="F10" s="21" t="n">
        <f aca="false">'💰 Revenus'!F27</f>
        <v>180</v>
      </c>
      <c r="G10" s="21" t="n">
        <f aca="false">'💰 Revenus'!G27</f>
        <v>180</v>
      </c>
      <c r="H10" s="21" t="n">
        <f aca="false">'💰 Revenus'!H27</f>
        <v>180</v>
      </c>
      <c r="I10" s="21" t="n">
        <f aca="false">'💰 Revenus'!I27</f>
        <v>180</v>
      </c>
      <c r="J10" s="21" t="n">
        <f aca="false">'💰 Revenus'!J27</f>
        <v>180</v>
      </c>
      <c r="K10" s="21" t="n">
        <f aca="false">'💰 Revenus'!K27</f>
        <v>180</v>
      </c>
      <c r="L10" s="21" t="n">
        <f aca="false">'💰 Revenus'!L27</f>
        <v>180</v>
      </c>
      <c r="M10" s="21" t="n">
        <f aca="false">'💰 Revenus'!M27</f>
        <v>180</v>
      </c>
      <c r="N10" s="49" t="n">
        <f aca="false">SUM(B10:M10)</f>
        <v>2160</v>
      </c>
    </row>
    <row r="11" customFormat="false" ht="14.25" hidden="false" customHeight="true" outlineLevel="0" collapsed="false">
      <c r="A11" s="27" t="s">
        <v>329</v>
      </c>
      <c r="B11" s="21" t="n">
        <f aca="false">'💰 Revenus'!B32</f>
        <v>2</v>
      </c>
      <c r="C11" s="21" t="n">
        <f aca="false">'💰 Revenus'!C32</f>
        <v>3</v>
      </c>
      <c r="D11" s="21" t="n">
        <f aca="false">'💰 Revenus'!D32</f>
        <v>4</v>
      </c>
      <c r="E11" s="21" t="n">
        <f aca="false">'💰 Revenus'!E32</f>
        <v>3</v>
      </c>
      <c r="F11" s="21" t="n">
        <f aca="false">'💰 Revenus'!F32</f>
        <v>5</v>
      </c>
      <c r="G11" s="21" t="n">
        <f aca="false">'💰 Revenus'!G32</f>
        <v>7</v>
      </c>
      <c r="H11" s="21" t="n">
        <f aca="false">'💰 Revenus'!H32</f>
        <v>4</v>
      </c>
      <c r="I11" s="21" t="n">
        <f aca="false">'💰 Revenus'!I32</f>
        <v>3</v>
      </c>
      <c r="J11" s="21" t="n">
        <f aca="false">'💰 Revenus'!J32</f>
        <v>7</v>
      </c>
      <c r="K11" s="21" t="n">
        <f aca="false">'💰 Revenus'!K32</f>
        <v>8</v>
      </c>
      <c r="L11" s="21" t="n">
        <f aca="false">'💰 Revenus'!L32</f>
        <v>9</v>
      </c>
      <c r="M11" s="21" t="n">
        <f aca="false">'💰 Revenus'!M32</f>
        <v>9</v>
      </c>
      <c r="N11" s="49" t="n">
        <f aca="false">SUM(B11:M11)</f>
        <v>64</v>
      </c>
    </row>
    <row r="12" customFormat="false" ht="14.25" hidden="false" customHeight="true" outlineLevel="0" collapsed="false">
      <c r="A12" s="27" t="s">
        <v>330</v>
      </c>
      <c r="B12" s="21" t="n">
        <f aca="false">'💰 Revenus'!B34</f>
        <v>230</v>
      </c>
      <c r="C12" s="21" t="n">
        <f aca="false">'💰 Revenus'!C34</f>
        <v>345</v>
      </c>
      <c r="D12" s="21" t="n">
        <f aca="false">'💰 Revenus'!D34</f>
        <v>460</v>
      </c>
      <c r="E12" s="21" t="n">
        <f aca="false">'💰 Revenus'!E34</f>
        <v>345</v>
      </c>
      <c r="F12" s="21" t="n">
        <f aca="false">'💰 Revenus'!F34</f>
        <v>575</v>
      </c>
      <c r="G12" s="21" t="n">
        <f aca="false">'💰 Revenus'!G34</f>
        <v>805</v>
      </c>
      <c r="H12" s="21" t="n">
        <f aca="false">'💰 Revenus'!H34</f>
        <v>460</v>
      </c>
      <c r="I12" s="21" t="n">
        <f aca="false">'💰 Revenus'!I34</f>
        <v>345</v>
      </c>
      <c r="J12" s="21" t="n">
        <f aca="false">'💰 Revenus'!J34</f>
        <v>805</v>
      </c>
      <c r="K12" s="21" t="n">
        <f aca="false">'💰 Revenus'!K34</f>
        <v>920</v>
      </c>
      <c r="L12" s="21" t="n">
        <f aca="false">'💰 Revenus'!L34</f>
        <v>1035</v>
      </c>
      <c r="M12" s="21" t="n">
        <f aca="false">'💰 Revenus'!M34</f>
        <v>1035</v>
      </c>
      <c r="N12" s="49" t="n">
        <f aca="false">SUM(B12:M12)</f>
        <v>7360</v>
      </c>
    </row>
    <row r="13" customFormat="false" ht="14.25" hidden="false" customHeight="true" outlineLevel="0" collapsed="false">
      <c r="A13" s="27" t="s">
        <v>331</v>
      </c>
      <c r="B13" s="21" t="n">
        <f aca="false">'💰 Revenus'!B35</f>
        <v>0</v>
      </c>
      <c r="C13" s="21" t="n">
        <f aca="false">'💰 Revenus'!C35</f>
        <v>0</v>
      </c>
      <c r="D13" s="21" t="n">
        <f aca="false">'💰 Revenus'!D35</f>
        <v>0</v>
      </c>
      <c r="E13" s="21" t="n">
        <f aca="false">'💰 Revenus'!E35</f>
        <v>0</v>
      </c>
      <c r="F13" s="21" t="n">
        <f aca="false">'💰 Revenus'!F35</f>
        <v>0</v>
      </c>
      <c r="G13" s="21" t="n">
        <f aca="false">'💰 Revenus'!G35</f>
        <v>0</v>
      </c>
      <c r="H13" s="21" t="n">
        <f aca="false">'💰 Revenus'!H35</f>
        <v>0</v>
      </c>
      <c r="I13" s="21" t="n">
        <f aca="false">'💰 Revenus'!I35</f>
        <v>0</v>
      </c>
      <c r="J13" s="21" t="n">
        <f aca="false">'💰 Revenus'!J35</f>
        <v>0</v>
      </c>
      <c r="K13" s="21" t="n">
        <f aca="false">'💰 Revenus'!K35</f>
        <v>0</v>
      </c>
      <c r="L13" s="21" t="n">
        <f aca="false">'💰 Revenus'!L35</f>
        <v>0</v>
      </c>
      <c r="M13" s="21" t="n">
        <f aca="false">'💰 Revenus'!M35</f>
        <v>0</v>
      </c>
      <c r="N13" s="49" t="n">
        <f aca="false">SUM(B13:M13)</f>
        <v>0</v>
      </c>
    </row>
    <row r="15" customFormat="false" ht="14.25" hidden="false" customHeight="true" outlineLevel="0" collapsed="false">
      <c r="A15" s="64" t="s">
        <v>332</v>
      </c>
      <c r="B15" s="65" t="n">
        <f aca="false">SUM(B6:B14)</f>
        <v>788.38</v>
      </c>
      <c r="C15" s="65" t="n">
        <f aca="false">SUM(C6:C14)</f>
        <v>904.38</v>
      </c>
      <c r="D15" s="65" t="n">
        <f aca="false">SUM(D6:D14)</f>
        <v>1396.76</v>
      </c>
      <c r="E15" s="65" t="n">
        <f aca="false">SUM(E6:E14)</f>
        <v>1280.76</v>
      </c>
      <c r="F15" s="65" t="n">
        <f aca="false">SUM(F6:F14)</f>
        <v>1512.76</v>
      </c>
      <c r="G15" s="65" t="n">
        <f aca="false">SUM(G6:G14)</f>
        <v>1744.76</v>
      </c>
      <c r="H15" s="65" t="n">
        <f aca="false">SUM(H6:H14)</f>
        <v>2410.44</v>
      </c>
      <c r="I15" s="65" t="n">
        <f aca="false">SUM(I6:I14)</f>
        <v>2294.44</v>
      </c>
      <c r="J15" s="65" t="n">
        <f aca="false">SUM(J6:J14)</f>
        <v>3134.82</v>
      </c>
      <c r="K15" s="65" t="n">
        <f aca="false">SUM(K6:K14)</f>
        <v>3250.82</v>
      </c>
      <c r="L15" s="65" t="n">
        <f aca="false">SUM(L6:L14)</f>
        <v>3743.2</v>
      </c>
      <c r="M15" s="65" t="n">
        <f aca="false">SUM(M6:M14)</f>
        <v>3743.2</v>
      </c>
      <c r="N15" s="65" t="n">
        <f aca="false">SUM(N6:N14)</f>
        <v>26204.72</v>
      </c>
    </row>
    <row r="17" customFormat="false" ht="14.25" hidden="false" customHeight="true" outlineLevel="0" collapsed="false">
      <c r="A17" s="22" t="s">
        <v>333</v>
      </c>
      <c r="B17" s="71" t="n">
        <f aca="false">'💰 Revenus'!B38</f>
        <v>0</v>
      </c>
      <c r="C17" s="71" t="n">
        <f aca="false">'💰 Revenus'!C38</f>
        <v>0</v>
      </c>
      <c r="D17" s="71" t="n">
        <f aca="false">'💰 Revenus'!D38</f>
        <v>1</v>
      </c>
      <c r="E17" s="71" t="n">
        <f aca="false">'💰 Revenus'!E38</f>
        <v>1</v>
      </c>
      <c r="F17" s="71" t="n">
        <f aca="false">'💰 Revenus'!F38</f>
        <v>2</v>
      </c>
      <c r="G17" s="71" t="n">
        <f aca="false">'💰 Revenus'!G38</f>
        <v>2</v>
      </c>
      <c r="H17" s="71" t="n">
        <f aca="false">'💰 Revenus'!H38</f>
        <v>2</v>
      </c>
      <c r="I17" s="71" t="n">
        <f aca="false">'💰 Revenus'!I38</f>
        <v>2</v>
      </c>
      <c r="J17" s="71" t="n">
        <f aca="false">'💰 Revenus'!J38</f>
        <v>3</v>
      </c>
      <c r="K17" s="71" t="n">
        <f aca="false">'💰 Revenus'!K38</f>
        <v>4</v>
      </c>
      <c r="L17" s="71" t="n">
        <f aca="false">'💰 Revenus'!L38</f>
        <v>4</v>
      </c>
      <c r="M17" s="71" t="n">
        <f aca="false">'💰 Revenus'!M38</f>
        <v>4</v>
      </c>
      <c r="N17" s="71" t="n">
        <f aca="false">'💰 Revenus'!N45</f>
        <v>35089.92</v>
      </c>
    </row>
    <row r="19" customFormat="false" ht="14.25" hidden="false" customHeight="true" outlineLevel="0" collapsed="false">
      <c r="A19" s="64" t="s">
        <v>334</v>
      </c>
      <c r="B19" s="65" t="n">
        <f aca="false">B15</f>
        <v>788.38</v>
      </c>
      <c r="C19" s="65" t="n">
        <f aca="false">C15</f>
        <v>904.38</v>
      </c>
      <c r="D19" s="65" t="n">
        <f aca="false">D15</f>
        <v>1396.76</v>
      </c>
      <c r="E19" s="65" t="n">
        <f aca="false">E15</f>
        <v>1280.76</v>
      </c>
      <c r="F19" s="65" t="n">
        <f aca="false">F15</f>
        <v>1512.76</v>
      </c>
      <c r="G19" s="65" t="n">
        <f aca="false">G15</f>
        <v>1744.76</v>
      </c>
      <c r="H19" s="65" t="n">
        <f aca="false">H15</f>
        <v>2410.44</v>
      </c>
      <c r="I19" s="65" t="n">
        <f aca="false">I15</f>
        <v>2294.44</v>
      </c>
      <c r="J19" s="65" t="n">
        <f aca="false">J15</f>
        <v>3134.82</v>
      </c>
      <c r="K19" s="65" t="n">
        <f aca="false">K15</f>
        <v>3250.82</v>
      </c>
      <c r="L19" s="65" t="n">
        <f aca="false">L15</f>
        <v>3743.2</v>
      </c>
      <c r="M19" s="65" t="n">
        <f aca="false">M15</f>
        <v>3743.2</v>
      </c>
      <c r="N19" s="65" t="n">
        <f aca="false">N15</f>
        <v>26204.72</v>
      </c>
    </row>
    <row r="21" customFormat="false" ht="14.25" hidden="false" customHeight="true" outlineLevel="0" collapsed="false">
      <c r="A21" s="66" t="s">
        <v>335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</row>
    <row r="22" customFormat="false" ht="14.25" hidden="false" customHeight="true" outlineLevel="0" collapsed="false">
      <c r="A22" s="67" t="s">
        <v>204</v>
      </c>
      <c r="B22" s="68" t="s">
        <v>205</v>
      </c>
      <c r="C22" s="68" t="s">
        <v>206</v>
      </c>
      <c r="D22" s="68" t="s">
        <v>207</v>
      </c>
      <c r="E22" s="68" t="s">
        <v>208</v>
      </c>
      <c r="F22" s="68" t="s">
        <v>209</v>
      </c>
      <c r="G22" s="68" t="s">
        <v>210</v>
      </c>
      <c r="H22" s="68" t="s">
        <v>211</v>
      </c>
      <c r="I22" s="68" t="s">
        <v>212</v>
      </c>
      <c r="J22" s="68" t="s">
        <v>213</v>
      </c>
      <c r="K22" s="68" t="s">
        <v>214</v>
      </c>
      <c r="L22" s="68" t="s">
        <v>215</v>
      </c>
      <c r="M22" s="68" t="s">
        <v>216</v>
      </c>
      <c r="N22" s="68" t="s">
        <v>217</v>
      </c>
    </row>
    <row r="23" customFormat="false" ht="14.25" hidden="false" customHeight="true" outlineLevel="0" collapsed="false">
      <c r="A23" s="27" t="s">
        <v>336</v>
      </c>
      <c r="B23" s="21" t="n">
        <f aca="false">'💸 Charges'!B6</f>
        <v>250</v>
      </c>
      <c r="C23" s="21" t="n">
        <f aca="false">'💸 Charges'!C6</f>
        <v>250</v>
      </c>
      <c r="D23" s="21" t="n">
        <f aca="false">'💸 Charges'!D6</f>
        <v>250</v>
      </c>
      <c r="E23" s="21" t="n">
        <f aca="false">'💸 Charges'!E6</f>
        <v>250</v>
      </c>
      <c r="F23" s="21" t="n">
        <f aca="false">'💸 Charges'!F6</f>
        <v>250</v>
      </c>
      <c r="G23" s="21" t="n">
        <f aca="false">'💸 Charges'!G6</f>
        <v>250</v>
      </c>
      <c r="H23" s="21" t="n">
        <f aca="false">'💸 Charges'!H6</f>
        <v>1950</v>
      </c>
      <c r="I23" s="21" t="n">
        <f aca="false">'💸 Charges'!I6</f>
        <v>1950</v>
      </c>
      <c r="J23" s="21" t="n">
        <f aca="false">'💸 Charges'!J6</f>
        <v>1950</v>
      </c>
      <c r="K23" s="21" t="n">
        <f aca="false">'💸 Charges'!K6</f>
        <v>1950</v>
      </c>
      <c r="L23" s="21" t="n">
        <f aca="false">'💸 Charges'!L6</f>
        <v>1950</v>
      </c>
      <c r="M23" s="21" t="n">
        <f aca="false">'💸 Charges'!M6</f>
        <v>1950</v>
      </c>
      <c r="N23" s="49" t="n">
        <f aca="false">SUM(B23:M23)</f>
        <v>13200</v>
      </c>
    </row>
    <row r="24" customFormat="false" ht="14.25" hidden="false" customHeight="true" outlineLevel="0" collapsed="false">
      <c r="A24" s="27" t="s">
        <v>337</v>
      </c>
      <c r="B24" s="21" t="n">
        <f aca="false">'💸 Charges'!B10</f>
        <v>25</v>
      </c>
      <c r="C24" s="21" t="n">
        <f aca="false">'💸 Charges'!C10</f>
        <v>25</v>
      </c>
      <c r="D24" s="21" t="n">
        <f aca="false">'💸 Charges'!D10</f>
        <v>25</v>
      </c>
      <c r="E24" s="21" t="n">
        <f aca="false">'💸 Charges'!E10</f>
        <v>25</v>
      </c>
      <c r="F24" s="21" t="n">
        <f aca="false">'💸 Charges'!F10</f>
        <v>25</v>
      </c>
      <c r="G24" s="21" t="n">
        <f aca="false">'💸 Charges'!G10</f>
        <v>25</v>
      </c>
      <c r="H24" s="21" t="n">
        <f aca="false">'💸 Charges'!H10</f>
        <v>25</v>
      </c>
      <c r="I24" s="21" t="n">
        <f aca="false">'💸 Charges'!I10</f>
        <v>25</v>
      </c>
      <c r="J24" s="21" t="n">
        <f aca="false">'💸 Charges'!J10</f>
        <v>25</v>
      </c>
      <c r="K24" s="21" t="n">
        <f aca="false">'💸 Charges'!K10</f>
        <v>25</v>
      </c>
      <c r="L24" s="21" t="n">
        <f aca="false">'💸 Charges'!L10</f>
        <v>25</v>
      </c>
      <c r="M24" s="21" t="n">
        <f aca="false">'💸 Charges'!M10</f>
        <v>25</v>
      </c>
      <c r="N24" s="49" t="n">
        <f aca="false">SUM(B24:M24)</f>
        <v>300</v>
      </c>
    </row>
    <row r="25" customFormat="false" ht="14.25" hidden="false" customHeight="true" outlineLevel="0" collapsed="false">
      <c r="A25" s="27" t="s">
        <v>338</v>
      </c>
      <c r="B25" s="21" t="n">
        <f aca="false">'💸 Charges'!B11</f>
        <v>15</v>
      </c>
      <c r="C25" s="21" t="n">
        <f aca="false">'💸 Charges'!C11</f>
        <v>15</v>
      </c>
      <c r="D25" s="21" t="n">
        <f aca="false">'💸 Charges'!D11</f>
        <v>15</v>
      </c>
      <c r="E25" s="21" t="n">
        <f aca="false">'💸 Charges'!E11</f>
        <v>15</v>
      </c>
      <c r="F25" s="21" t="n">
        <f aca="false">'💸 Charges'!F11</f>
        <v>15</v>
      </c>
      <c r="G25" s="21" t="n">
        <f aca="false">'💸 Charges'!G11</f>
        <v>15</v>
      </c>
      <c r="H25" s="21" t="n">
        <f aca="false">'💸 Charges'!H11</f>
        <v>15</v>
      </c>
      <c r="I25" s="21" t="n">
        <f aca="false">'💸 Charges'!I11</f>
        <v>15</v>
      </c>
      <c r="J25" s="21" t="n">
        <f aca="false">'💸 Charges'!J11</f>
        <v>15</v>
      </c>
      <c r="K25" s="21" t="n">
        <f aca="false">'💸 Charges'!K11</f>
        <v>15</v>
      </c>
      <c r="L25" s="21" t="n">
        <f aca="false">'💸 Charges'!L11</f>
        <v>15</v>
      </c>
      <c r="M25" s="21" t="n">
        <f aca="false">'💸 Charges'!M11</f>
        <v>15</v>
      </c>
      <c r="N25" s="49" t="n">
        <f aca="false">SUM(B25:M25)</f>
        <v>180</v>
      </c>
    </row>
    <row r="26" customFormat="false" ht="14.25" hidden="false" customHeight="true" outlineLevel="0" collapsed="false">
      <c r="A26" s="27" t="s">
        <v>339</v>
      </c>
      <c r="B26" s="21" t="n">
        <f aca="false">'💸 Charges'!B12</f>
        <v>350</v>
      </c>
      <c r="C26" s="21" t="n">
        <f aca="false">'💸 Charges'!C12</f>
        <v>350</v>
      </c>
      <c r="D26" s="21" t="n">
        <f aca="false">'💸 Charges'!D12</f>
        <v>350</v>
      </c>
      <c r="E26" s="21" t="n">
        <f aca="false">'💸 Charges'!E12</f>
        <v>350</v>
      </c>
      <c r="F26" s="21" t="n">
        <f aca="false">'💸 Charges'!F12</f>
        <v>350</v>
      </c>
      <c r="G26" s="21" t="n">
        <f aca="false">'💸 Charges'!G12</f>
        <v>350</v>
      </c>
      <c r="H26" s="21" t="n">
        <f aca="false">'💸 Charges'!H12</f>
        <v>350</v>
      </c>
      <c r="I26" s="21" t="n">
        <f aca="false">'💸 Charges'!I12</f>
        <v>350</v>
      </c>
      <c r="J26" s="21" t="n">
        <f aca="false">'💸 Charges'!J12</f>
        <v>350</v>
      </c>
      <c r="K26" s="21" t="n">
        <f aca="false">'💸 Charges'!K12</f>
        <v>350</v>
      </c>
      <c r="L26" s="21" t="n">
        <f aca="false">'💸 Charges'!L12</f>
        <v>350</v>
      </c>
      <c r="M26" s="21" t="n">
        <f aca="false">'💸 Charges'!M12</f>
        <v>350</v>
      </c>
      <c r="N26" s="49" t="n">
        <f aca="false">SUM(B26:M26)</f>
        <v>4200</v>
      </c>
    </row>
    <row r="27" customFormat="false" ht="14.25" hidden="false" customHeight="true" outlineLevel="0" collapsed="false">
      <c r="A27" s="27" t="s">
        <v>340</v>
      </c>
      <c r="B27" s="21" t="n">
        <f aca="false">'💸 Charges'!B16</f>
        <v>200</v>
      </c>
      <c r="C27" s="21" t="n">
        <f aca="false">'💸 Charges'!C16</f>
        <v>180</v>
      </c>
      <c r="D27" s="21" t="n">
        <f aca="false">'💸 Charges'!D16</f>
        <v>150</v>
      </c>
      <c r="E27" s="21" t="n">
        <f aca="false">'💸 Charges'!E16</f>
        <v>100</v>
      </c>
      <c r="F27" s="21" t="n">
        <f aca="false">'💸 Charges'!F16</f>
        <v>80</v>
      </c>
      <c r="G27" s="21" t="n">
        <f aca="false">'💸 Charges'!G16</f>
        <v>80</v>
      </c>
      <c r="H27" s="21" t="n">
        <f aca="false">'💸 Charges'!H16</f>
        <v>80</v>
      </c>
      <c r="I27" s="21" t="n">
        <f aca="false">'💸 Charges'!I16</f>
        <v>80</v>
      </c>
      <c r="J27" s="21" t="n">
        <f aca="false">'💸 Charges'!J16</f>
        <v>100</v>
      </c>
      <c r="K27" s="21" t="n">
        <f aca="false">'💸 Charges'!K16</f>
        <v>150</v>
      </c>
      <c r="L27" s="21" t="n">
        <f aca="false">'💸 Charges'!L16</f>
        <v>200</v>
      </c>
      <c r="M27" s="21" t="n">
        <f aca="false">'💸 Charges'!M16</f>
        <v>250</v>
      </c>
      <c r="N27" s="49" t="n">
        <f aca="false">SUM(B27:M27)</f>
        <v>1650</v>
      </c>
    </row>
    <row r="28" customFormat="false" ht="14.25" hidden="false" customHeight="true" outlineLevel="0" collapsed="false">
      <c r="A28" s="27" t="s">
        <v>341</v>
      </c>
      <c r="B28" s="21" t="n">
        <f aca="false">'💸 Charges'!B17</f>
        <v>65</v>
      </c>
      <c r="C28" s="21" t="n">
        <f aca="false">'💸 Charges'!C17</f>
        <v>65</v>
      </c>
      <c r="D28" s="21" t="n">
        <f aca="false">'💸 Charges'!D17</f>
        <v>65</v>
      </c>
      <c r="E28" s="21" t="n">
        <f aca="false">'💸 Charges'!E17</f>
        <v>65</v>
      </c>
      <c r="F28" s="21" t="n">
        <f aca="false">'💸 Charges'!F17</f>
        <v>65</v>
      </c>
      <c r="G28" s="21" t="n">
        <f aca="false">'💸 Charges'!G17</f>
        <v>65</v>
      </c>
      <c r="H28" s="21" t="n">
        <f aca="false">'💸 Charges'!H17</f>
        <v>65</v>
      </c>
      <c r="I28" s="21" t="n">
        <f aca="false">'💸 Charges'!I17</f>
        <v>65</v>
      </c>
      <c r="J28" s="21" t="n">
        <f aca="false">'💸 Charges'!J17</f>
        <v>65</v>
      </c>
      <c r="K28" s="21" t="n">
        <f aca="false">'💸 Charges'!K17</f>
        <v>65</v>
      </c>
      <c r="L28" s="21" t="n">
        <f aca="false">'💸 Charges'!L17</f>
        <v>65</v>
      </c>
      <c r="M28" s="21" t="n">
        <f aca="false">'💸 Charges'!M17</f>
        <v>65</v>
      </c>
      <c r="N28" s="49" t="n">
        <f aca="false">SUM(B28:M28)</f>
        <v>780</v>
      </c>
    </row>
    <row r="29" customFormat="false" ht="14.25" hidden="false" customHeight="true" outlineLevel="0" collapsed="false">
      <c r="A29" s="27" t="s">
        <v>342</v>
      </c>
      <c r="B29" s="21" t="n">
        <f aca="false">'💸 Charges'!B18</f>
        <v>0</v>
      </c>
      <c r="C29" s="21" t="n">
        <f aca="false">'💸 Charges'!C18</f>
        <v>100</v>
      </c>
      <c r="D29" s="21" t="n">
        <f aca="false">'💸 Charges'!D18</f>
        <v>100</v>
      </c>
      <c r="E29" s="21" t="n">
        <f aca="false">'💸 Charges'!E18</f>
        <v>100</v>
      </c>
      <c r="F29" s="21" t="n">
        <f aca="false">'💸 Charges'!F18</f>
        <v>100</v>
      </c>
      <c r="G29" s="21" t="n">
        <f aca="false">'💸 Charges'!G18</f>
        <v>100</v>
      </c>
      <c r="H29" s="21" t="n">
        <f aca="false">'💸 Charges'!H18</f>
        <v>100</v>
      </c>
      <c r="I29" s="21" t="n">
        <f aca="false">'💸 Charges'!I18</f>
        <v>100</v>
      </c>
      <c r="J29" s="21" t="n">
        <f aca="false">'💸 Charges'!J18</f>
        <v>100</v>
      </c>
      <c r="K29" s="21" t="n">
        <f aca="false">'💸 Charges'!K18</f>
        <v>100</v>
      </c>
      <c r="L29" s="21" t="n">
        <f aca="false">'💸 Charges'!L18</f>
        <v>100</v>
      </c>
      <c r="M29" s="21" t="n">
        <f aca="false">'💸 Charges'!M18</f>
        <v>100</v>
      </c>
      <c r="N29" s="49" t="n">
        <f aca="false">SUM(B29:M29)</f>
        <v>1100</v>
      </c>
    </row>
    <row r="30" customFormat="false" ht="14.25" hidden="false" customHeight="true" outlineLevel="0" collapsed="false">
      <c r="A30" s="27" t="s">
        <v>343</v>
      </c>
      <c r="B30" s="21" t="n">
        <f aca="false">'💸 Charges'!B22</f>
        <v>51.38</v>
      </c>
      <c r="C30" s="21" t="n">
        <f aca="false">'💸 Charges'!C22</f>
        <v>44.86</v>
      </c>
      <c r="D30" s="21" t="n">
        <f aca="false">'💸 Charges'!D22</f>
        <v>44.86</v>
      </c>
      <c r="E30" s="21" t="n">
        <f aca="false">'💸 Charges'!E22</f>
        <v>44.86</v>
      </c>
      <c r="F30" s="21" t="n">
        <f aca="false">'💸 Charges'!F22</f>
        <v>44.86</v>
      </c>
      <c r="G30" s="21" t="n">
        <f aca="false">'💸 Charges'!G22</f>
        <v>44.86</v>
      </c>
      <c r="H30" s="21" t="n">
        <f aca="false">'💸 Charges'!H22</f>
        <v>44.86</v>
      </c>
      <c r="I30" s="21" t="n">
        <f aca="false">'💸 Charges'!I22</f>
        <v>44.86</v>
      </c>
      <c r="J30" s="21" t="n">
        <f aca="false">'💸 Charges'!J22</f>
        <v>44.86</v>
      </c>
      <c r="K30" s="21" t="n">
        <f aca="false">'💸 Charges'!K22</f>
        <v>44.86</v>
      </c>
      <c r="L30" s="21" t="n">
        <f aca="false">'💸 Charges'!L22</f>
        <v>44.86</v>
      </c>
      <c r="M30" s="21" t="n">
        <f aca="false">'💸 Charges'!M22</f>
        <v>44.86</v>
      </c>
      <c r="N30" s="49" t="n">
        <f aca="false">SUM(B30:M30)</f>
        <v>544.84</v>
      </c>
    </row>
    <row r="31" customFormat="false" ht="14.25" hidden="false" customHeight="true" outlineLevel="0" collapsed="false">
      <c r="A31" s="27" t="s">
        <v>344</v>
      </c>
      <c r="B31" s="21" t="n">
        <f aca="false">'💸 Charges'!B26</f>
        <v>0</v>
      </c>
      <c r="C31" s="21" t="n">
        <f aca="false">'💸 Charges'!C26</f>
        <v>0</v>
      </c>
      <c r="D31" s="21" t="n">
        <f aca="false">'💸 Charges'!D26</f>
        <v>0</v>
      </c>
      <c r="E31" s="21" t="n">
        <f aca="false">'💸 Charges'!E26</f>
        <v>0</v>
      </c>
      <c r="F31" s="21" t="n">
        <f aca="false">'💸 Charges'!F26</f>
        <v>0</v>
      </c>
      <c r="G31" s="21" t="n">
        <f aca="false">'💸 Charges'!G26</f>
        <v>0</v>
      </c>
      <c r="H31" s="21" t="n">
        <f aca="false">'💸 Charges'!H26</f>
        <v>80</v>
      </c>
      <c r="I31" s="21" t="n">
        <f aca="false">'💸 Charges'!I26</f>
        <v>80</v>
      </c>
      <c r="J31" s="21" t="n">
        <f aca="false">'💸 Charges'!J26</f>
        <v>80</v>
      </c>
      <c r="K31" s="21" t="n">
        <f aca="false">'💸 Charges'!K26</f>
        <v>80</v>
      </c>
      <c r="L31" s="21" t="n">
        <f aca="false">'💸 Charges'!L26</f>
        <v>80</v>
      </c>
      <c r="M31" s="21" t="n">
        <f aca="false">'💸 Charges'!M26</f>
        <v>80</v>
      </c>
      <c r="N31" s="49" t="n">
        <f aca="false">SUM(B31:M31)</f>
        <v>480</v>
      </c>
    </row>
    <row r="32" customFormat="false" ht="14.25" hidden="false" customHeight="true" outlineLevel="0" collapsed="false">
      <c r="A32" s="27" t="s">
        <v>267</v>
      </c>
      <c r="B32" s="21" t="n">
        <f aca="false">'💸 Charges'!B27</f>
        <v>100</v>
      </c>
      <c r="C32" s="21" t="n">
        <f aca="false">'💸 Charges'!C27</f>
        <v>200</v>
      </c>
      <c r="D32" s="21" t="n">
        <f aca="false">'💸 Charges'!D27</f>
        <v>200</v>
      </c>
      <c r="E32" s="21" t="n">
        <f aca="false">'💸 Charges'!E27</f>
        <v>150</v>
      </c>
      <c r="F32" s="21" t="n">
        <f aca="false">'💸 Charges'!F27</f>
        <v>100</v>
      </c>
      <c r="G32" s="21" t="n">
        <f aca="false">'💸 Charges'!G27</f>
        <v>50</v>
      </c>
      <c r="H32" s="21" t="n">
        <f aca="false">'💸 Charges'!H27</f>
        <v>0</v>
      </c>
      <c r="I32" s="21" t="n">
        <f aca="false">'💸 Charges'!I27</f>
        <v>0</v>
      </c>
      <c r="J32" s="21" t="n">
        <f aca="false">'💸 Charges'!J27</f>
        <v>100</v>
      </c>
      <c r="K32" s="21" t="n">
        <f aca="false">'💸 Charges'!K27</f>
        <v>100</v>
      </c>
      <c r="L32" s="21" t="n">
        <f aca="false">'💸 Charges'!L27</f>
        <v>50</v>
      </c>
      <c r="M32" s="21" t="n">
        <f aca="false">'💸 Charges'!M27</f>
        <v>50</v>
      </c>
      <c r="N32" s="49" t="n">
        <f aca="false">SUM(B32:M32)</f>
        <v>1100</v>
      </c>
    </row>
    <row r="33" customFormat="false" ht="14.25" hidden="false" customHeight="true" outlineLevel="0" collapsed="false">
      <c r="A33" s="64" t="s">
        <v>345</v>
      </c>
      <c r="B33" s="65" t="n">
        <f aca="false">B36</f>
        <v>1116.38</v>
      </c>
      <c r="C33" s="65" t="n">
        <f aca="false">C36</f>
        <v>1289.86</v>
      </c>
      <c r="D33" s="65" t="n">
        <f aca="false">D36</f>
        <v>1259.86</v>
      </c>
      <c r="E33" s="65" t="n">
        <f aca="false">E36</f>
        <v>1159.86</v>
      </c>
      <c r="F33" s="65" t="n">
        <f aca="false">F36</f>
        <v>1089.86</v>
      </c>
      <c r="G33" s="65" t="n">
        <f aca="false">G36</f>
        <v>1039.86</v>
      </c>
      <c r="H33" s="65" t="n">
        <f aca="false">H36</f>
        <v>2769.86</v>
      </c>
      <c r="I33" s="65" t="n">
        <f aca="false">I36</f>
        <v>2769.86</v>
      </c>
      <c r="J33" s="65" t="n">
        <f aca="false">J36</f>
        <v>2889.86</v>
      </c>
      <c r="K33" s="65" t="n">
        <f aca="false">K36</f>
        <v>2939.86</v>
      </c>
      <c r="L33" s="65" t="n">
        <f aca="false">L36</f>
        <v>2939.86</v>
      </c>
      <c r="M33" s="65" t="n">
        <f aca="false">M36</f>
        <v>2989.86</v>
      </c>
      <c r="N33" s="65" t="n">
        <f aca="false">N36</f>
        <v>24254.84</v>
      </c>
    </row>
    <row r="34" customFormat="false" ht="14.25" hidden="false" customHeight="true" outlineLevel="0" collapsed="false">
      <c r="A34" s="27" t="s">
        <v>269</v>
      </c>
      <c r="B34" s="21" t="n">
        <f aca="false">'💸 Charges'!B29</f>
        <v>60</v>
      </c>
      <c r="C34" s="21" t="n">
        <f aca="false">'💸 Charges'!C29</f>
        <v>60</v>
      </c>
      <c r="D34" s="21" t="n">
        <f aca="false">'💸 Charges'!D29</f>
        <v>60</v>
      </c>
      <c r="E34" s="21" t="n">
        <f aca="false">'💸 Charges'!E29</f>
        <v>60</v>
      </c>
      <c r="F34" s="21" t="n">
        <f aca="false">'💸 Charges'!F29</f>
        <v>60</v>
      </c>
      <c r="G34" s="21" t="n">
        <f aca="false">'💸 Charges'!G29</f>
        <v>60</v>
      </c>
      <c r="H34" s="21" t="n">
        <f aca="false">'💸 Charges'!H29</f>
        <v>60</v>
      </c>
      <c r="I34" s="21" t="n">
        <f aca="false">'💸 Charges'!I29</f>
        <v>60</v>
      </c>
      <c r="J34" s="21" t="n">
        <f aca="false">'💸 Charges'!J29</f>
        <v>60</v>
      </c>
      <c r="K34" s="21" t="n">
        <f aca="false">'💸 Charges'!K29</f>
        <v>60</v>
      </c>
      <c r="L34" s="21" t="n">
        <f aca="false">'💸 Charges'!L29</f>
        <v>60</v>
      </c>
      <c r="M34" s="21" t="n">
        <f aca="false">'💸 Charges'!M29</f>
        <v>60</v>
      </c>
      <c r="N34" s="49" t="n">
        <f aca="false">SUM(B34:M34)</f>
        <v>720</v>
      </c>
    </row>
    <row r="35" customFormat="false" ht="14.25" hidden="false" customHeight="true" outlineLevel="0" collapsed="false">
      <c r="A35" s="72" t="s">
        <v>346</v>
      </c>
      <c r="B35" s="65" t="n">
        <f aca="false">B19-B33</f>
        <v>-328</v>
      </c>
      <c r="C35" s="65" t="n">
        <f aca="false">C19-C33</f>
        <v>-385.48</v>
      </c>
      <c r="D35" s="65" t="n">
        <f aca="false">D19-D33</f>
        <v>136.9</v>
      </c>
      <c r="E35" s="65" t="n">
        <f aca="false">E19-E33</f>
        <v>120.9</v>
      </c>
      <c r="F35" s="65" t="n">
        <f aca="false">F19-F33</f>
        <v>422.9</v>
      </c>
      <c r="G35" s="65" t="n">
        <f aca="false">G19-G33</f>
        <v>704.9</v>
      </c>
      <c r="H35" s="65" t="n">
        <f aca="false">H19-H33</f>
        <v>-359.42</v>
      </c>
      <c r="I35" s="65" t="n">
        <f aca="false">I19-I33</f>
        <v>-475.42</v>
      </c>
      <c r="J35" s="65" t="n">
        <f aca="false">J19-J33</f>
        <v>244.96</v>
      </c>
      <c r="K35" s="65" t="n">
        <f aca="false">K19-K33</f>
        <v>310.96</v>
      </c>
      <c r="L35" s="65" t="n">
        <f aca="false">L19-L33</f>
        <v>803.34</v>
      </c>
      <c r="M35" s="65" t="n">
        <f aca="false">M19-M33</f>
        <v>753.34</v>
      </c>
      <c r="N35" s="65" t="n">
        <f aca="false">N19-N33</f>
        <v>1949.88</v>
      </c>
    </row>
    <row r="36" customFormat="false" ht="14.25" hidden="false" customHeight="true" outlineLevel="0" collapsed="false">
      <c r="A36" s="64" t="s">
        <v>272</v>
      </c>
      <c r="B36" s="65" t="n">
        <f aca="false">SUM(B23:B32)+B34</f>
        <v>1116.38</v>
      </c>
      <c r="C36" s="65" t="n">
        <f aca="false">SUM(C23:C32)+C34</f>
        <v>1289.86</v>
      </c>
      <c r="D36" s="65" t="n">
        <f aca="false">SUM(D23:D32)+D34</f>
        <v>1259.86</v>
      </c>
      <c r="E36" s="65" t="n">
        <f aca="false">SUM(E23:E32)+E34</f>
        <v>1159.86</v>
      </c>
      <c r="F36" s="65" t="n">
        <f aca="false">SUM(F23:F32)+F34</f>
        <v>1089.86</v>
      </c>
      <c r="G36" s="65" t="n">
        <f aca="false">SUM(G23:G32)+G34</f>
        <v>1039.86</v>
      </c>
      <c r="H36" s="65" t="n">
        <f aca="false">SUM(H23:H32)+H34</f>
        <v>2769.86</v>
      </c>
      <c r="I36" s="65" t="n">
        <f aca="false">SUM(I23:I32)+I34</f>
        <v>2769.86</v>
      </c>
      <c r="J36" s="65" t="n">
        <f aca="false">SUM(J23:J32)+J34</f>
        <v>2889.86</v>
      </c>
      <c r="K36" s="65" t="n">
        <f aca="false">SUM(K23:K32)+K34</f>
        <v>2939.86</v>
      </c>
      <c r="L36" s="65" t="n">
        <f aca="false">SUM(L23:L32)+L34</f>
        <v>2939.86</v>
      </c>
      <c r="M36" s="65" t="n">
        <f aca="false">SUM(M23:M32)+M34</f>
        <v>2989.86</v>
      </c>
      <c r="N36" s="65" t="n">
        <f aca="false">SUM(N23:N32)+N34</f>
        <v>24254.84</v>
      </c>
    </row>
    <row r="37" customFormat="false" ht="26.25" hidden="false" customHeight="true" outlineLevel="0" collapsed="false">
      <c r="A37" s="73" t="s">
        <v>347</v>
      </c>
      <c r="B37" s="74" t="n">
        <f aca="false">AVERAGE(H36:M36)</f>
        <v>2883.19333333333</v>
      </c>
      <c r="C37" s="22" t="s">
        <v>348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</sheetData>
  <mergeCells count="5">
    <mergeCell ref="A1:N1"/>
    <mergeCell ref="A2:N2"/>
    <mergeCell ref="A4:N4"/>
    <mergeCell ref="A21:N21"/>
    <mergeCell ref="C37:N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9.09375" defaultRowHeight="14.25" zeroHeight="false" outlineLevelRow="0" outlineLevelCol="0"/>
  <cols>
    <col collapsed="false" customWidth="true" hidden="false" outlineLevel="0" max="1" min="1" style="1" width="40"/>
    <col collapsed="false" customWidth="true" hidden="false" outlineLevel="0" max="13" min="2" style="1" width="10"/>
    <col collapsed="false" customWidth="true" hidden="false" outlineLevel="0" max="14" min="14" style="1" width="13"/>
  </cols>
  <sheetData>
    <row r="1" customFormat="false" ht="27.75" hidden="false" customHeight="true" outlineLevel="0" collapsed="false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true" outlineLevel="0" collapsed="false">
      <c r="A2" s="3" t="s">
        <v>350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4.25" hidden="false" customHeight="true" outlineLevel="0" collapsed="false">
      <c r="A4" s="75" t="s">
        <v>351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</row>
    <row r="5" customFormat="false" ht="14.25" hidden="false" customHeight="true" outlineLevel="0" collapsed="false">
      <c r="A5" s="67" t="s">
        <v>204</v>
      </c>
      <c r="B5" s="68" t="s">
        <v>205</v>
      </c>
      <c r="C5" s="68" t="s">
        <v>206</v>
      </c>
      <c r="D5" s="68" t="s">
        <v>207</v>
      </c>
      <c r="E5" s="68" t="s">
        <v>208</v>
      </c>
      <c r="F5" s="68" t="s">
        <v>209</v>
      </c>
      <c r="G5" s="68" t="s">
        <v>210</v>
      </c>
      <c r="H5" s="68" t="s">
        <v>211</v>
      </c>
      <c r="I5" s="68" t="s">
        <v>212</v>
      </c>
      <c r="J5" s="68" t="s">
        <v>213</v>
      </c>
      <c r="K5" s="68" t="s">
        <v>214</v>
      </c>
      <c r="L5" s="68" t="s">
        <v>215</v>
      </c>
      <c r="M5" s="68" t="s">
        <v>216</v>
      </c>
      <c r="N5" s="68" t="s">
        <v>217</v>
      </c>
    </row>
    <row r="6" customFormat="false" ht="14.25" hidden="false" customHeight="true" outlineLevel="0" collapsed="false">
      <c r="A6" s="10" t="s">
        <v>352</v>
      </c>
      <c r="B6" s="34" t="n">
        <v>500</v>
      </c>
      <c r="C6" s="46" t="n">
        <f aca="false">B13</f>
        <v>7383.62</v>
      </c>
      <c r="D6" s="46" t="n">
        <f aca="false">C13</f>
        <v>6093.76</v>
      </c>
      <c r="E6" s="46" t="n">
        <f aca="false">D13</f>
        <v>5333.9</v>
      </c>
      <c r="F6" s="46" t="n">
        <f aca="false">E13</f>
        <v>4674.04</v>
      </c>
      <c r="G6" s="46" t="n">
        <f aca="false">F13</f>
        <v>4084.18</v>
      </c>
      <c r="H6" s="46" t="n">
        <f aca="false">G13</f>
        <v>3544.32</v>
      </c>
      <c r="I6" s="46" t="n">
        <f aca="false">H13</f>
        <v>1974.46</v>
      </c>
      <c r="J6" s="46" t="n">
        <f aca="false">I13</f>
        <v>404.599999999999</v>
      </c>
      <c r="K6" s="46" t="n">
        <f aca="false">J13</f>
        <v>-1185.26</v>
      </c>
      <c r="L6" s="46" t="n">
        <f aca="false">K13</f>
        <v>-2825.12</v>
      </c>
      <c r="M6" s="46" t="n">
        <f aca="false">L13</f>
        <v>-3964.98</v>
      </c>
    </row>
    <row r="7" customFormat="false" ht="14.25" hidden="false" customHeight="true" outlineLevel="0" collapsed="false">
      <c r="A7" s="1" t="s">
        <v>353</v>
      </c>
      <c r="B7" s="21" t="n">
        <v>0</v>
      </c>
      <c r="C7" s="21" t="n">
        <v>0</v>
      </c>
      <c r="D7" s="21" t="n">
        <v>500</v>
      </c>
      <c r="E7" s="21" t="n">
        <v>500</v>
      </c>
      <c r="F7" s="21" t="n">
        <v>500</v>
      </c>
      <c r="G7" s="21" t="n">
        <v>500</v>
      </c>
      <c r="H7" s="21" t="n">
        <v>1200</v>
      </c>
      <c r="I7" s="21" t="n">
        <v>1200</v>
      </c>
      <c r="J7" s="21" t="n">
        <v>1300</v>
      </c>
      <c r="K7" s="21" t="n">
        <v>1300</v>
      </c>
      <c r="L7" s="21" t="n">
        <v>1800</v>
      </c>
      <c r="M7" s="21" t="n">
        <v>2000</v>
      </c>
      <c r="N7" s="49" t="n">
        <f aca="false">SUM(B7:M7)</f>
        <v>10800</v>
      </c>
    </row>
    <row r="8" customFormat="false" ht="14.25" hidden="false" customHeight="true" outlineLevel="0" collapsed="false">
      <c r="A8" s="1" t="s">
        <v>354</v>
      </c>
      <c r="B8" s="25" t="n">
        <v>8000</v>
      </c>
      <c r="C8" s="25" t="n">
        <v>0</v>
      </c>
      <c r="D8" s="25" t="n">
        <v>0</v>
      </c>
      <c r="E8" s="25" t="n">
        <v>0</v>
      </c>
      <c r="F8" s="25" t="n">
        <v>0</v>
      </c>
      <c r="G8" s="25" t="n">
        <v>0</v>
      </c>
      <c r="H8" s="25" t="n">
        <v>0</v>
      </c>
      <c r="I8" s="25" t="n">
        <v>0</v>
      </c>
      <c r="J8" s="25" t="n">
        <v>0</v>
      </c>
      <c r="K8" s="25" t="n">
        <v>0</v>
      </c>
      <c r="L8" s="25" t="n">
        <v>0</v>
      </c>
      <c r="M8" s="25" t="n">
        <v>0</v>
      </c>
      <c r="N8" s="49" t="n">
        <f aca="false">SUM(B8:M8)</f>
        <v>8000</v>
      </c>
    </row>
    <row r="9" customFormat="false" ht="14.25" hidden="false" customHeight="true" outlineLevel="0" collapsed="false">
      <c r="A9" s="1" t="s">
        <v>355</v>
      </c>
      <c r="B9" s="34" t="n">
        <v>0</v>
      </c>
      <c r="C9" s="34" t="n">
        <v>0</v>
      </c>
      <c r="D9" s="34" t="n">
        <v>0</v>
      </c>
      <c r="E9" s="34" t="n">
        <v>0</v>
      </c>
      <c r="F9" s="34" t="n">
        <v>0</v>
      </c>
      <c r="G9" s="34" t="n">
        <v>0</v>
      </c>
      <c r="H9" s="34" t="n">
        <v>0</v>
      </c>
      <c r="I9" s="34" t="n">
        <v>0</v>
      </c>
      <c r="J9" s="34" t="n">
        <v>0</v>
      </c>
      <c r="K9" s="34" t="n">
        <v>0</v>
      </c>
      <c r="L9" s="34" t="n">
        <v>0</v>
      </c>
      <c r="M9" s="34" t="n">
        <v>0</v>
      </c>
      <c r="N9" s="49" t="n">
        <f aca="false">SUM(B9:M9)</f>
        <v>0</v>
      </c>
    </row>
    <row r="10" customFormat="false" ht="14.25" hidden="false" customHeight="true" outlineLevel="0" collapsed="false">
      <c r="A10" s="1" t="s">
        <v>356</v>
      </c>
      <c r="B10" s="21" t="n">
        <f aca="false">-'📈 Compte de résultat'!B33</f>
        <v>-1116.38</v>
      </c>
      <c r="C10" s="21" t="n">
        <f aca="false">-'📈 Compte de résultat'!C33</f>
        <v>-1289.86</v>
      </c>
      <c r="D10" s="21" t="n">
        <f aca="false">-'📈 Compte de résultat'!D33</f>
        <v>-1259.86</v>
      </c>
      <c r="E10" s="21" t="n">
        <f aca="false">-'📈 Compte de résultat'!E33</f>
        <v>-1159.86</v>
      </c>
      <c r="F10" s="21" t="n">
        <f aca="false">-'📈 Compte de résultat'!F33</f>
        <v>-1089.86</v>
      </c>
      <c r="G10" s="21" t="n">
        <f aca="false">-'📈 Compte de résultat'!G33</f>
        <v>-1039.86</v>
      </c>
      <c r="H10" s="21" t="n">
        <f aca="false">-'📈 Compte de résultat'!H33</f>
        <v>-2769.86</v>
      </c>
      <c r="I10" s="21" t="n">
        <f aca="false">-'📈 Compte de résultat'!I33</f>
        <v>-2769.86</v>
      </c>
      <c r="J10" s="21" t="n">
        <f aca="false">-'📈 Compte de résultat'!J33</f>
        <v>-2889.86</v>
      </c>
      <c r="K10" s="21" t="n">
        <f aca="false">-'📈 Compte de résultat'!K33</f>
        <v>-2939.86</v>
      </c>
      <c r="L10" s="21" t="n">
        <f aca="false">-'📈 Compte de résultat'!L33</f>
        <v>-2939.86</v>
      </c>
      <c r="M10" s="21" t="n">
        <f aca="false">-'📈 Compte de résultat'!M33</f>
        <v>-2989.86</v>
      </c>
      <c r="N10" s="49" t="n">
        <f aca="false">SUM(B10:M10)</f>
        <v>-24254.84</v>
      </c>
    </row>
    <row r="12" customFormat="false" ht="14.25" hidden="false" customHeight="true" outlineLevel="0" collapsed="false">
      <c r="A12" s="64" t="s">
        <v>357</v>
      </c>
      <c r="B12" s="65" t="n">
        <f aca="false">B7+B8+B9+B10</f>
        <v>6883.62</v>
      </c>
      <c r="C12" s="65" t="n">
        <f aca="false">C7+C8+C9+C10</f>
        <v>-1289.86</v>
      </c>
      <c r="D12" s="65" t="n">
        <f aca="false">D7+D8+D9+D10</f>
        <v>-759.86</v>
      </c>
      <c r="E12" s="65" t="n">
        <f aca="false">E7+E8+E9+E10</f>
        <v>-659.86</v>
      </c>
      <c r="F12" s="65" t="n">
        <f aca="false">F7+F8+F9+F10</f>
        <v>-589.86</v>
      </c>
      <c r="G12" s="65" t="n">
        <f aca="false">G7+G8+G9+G10</f>
        <v>-539.86</v>
      </c>
      <c r="H12" s="65" t="n">
        <f aca="false">H7+H8+H9+H10</f>
        <v>-1569.86</v>
      </c>
      <c r="I12" s="65" t="n">
        <f aca="false">I7+I8+I9+I10</f>
        <v>-1569.86</v>
      </c>
      <c r="J12" s="65" t="n">
        <f aca="false">J7+J8+J9+J10</f>
        <v>-1589.86</v>
      </c>
      <c r="K12" s="65" t="n">
        <f aca="false">K7+K8+K9+K10</f>
        <v>-1639.86</v>
      </c>
      <c r="L12" s="65" t="n">
        <f aca="false">L7+L8+L9+L10</f>
        <v>-1139.86</v>
      </c>
      <c r="M12" s="65" t="n">
        <f aca="false">M7+M8+M9+M10</f>
        <v>-989.86</v>
      </c>
      <c r="N12" s="65" t="n">
        <f aca="false">SUM(B12:M12)</f>
        <v>-5454.84</v>
      </c>
    </row>
    <row r="13" customFormat="false" ht="14.25" hidden="false" customHeight="true" outlineLevel="0" collapsed="false">
      <c r="A13" s="73" t="s">
        <v>358</v>
      </c>
      <c r="B13" s="74" t="n">
        <f aca="false">B6+B12</f>
        <v>7383.62</v>
      </c>
      <c r="C13" s="74" t="n">
        <f aca="false">C6+C12</f>
        <v>6093.76</v>
      </c>
      <c r="D13" s="74" t="n">
        <f aca="false">D6+D12</f>
        <v>5333.9</v>
      </c>
      <c r="E13" s="74" t="n">
        <f aca="false">E6+E12</f>
        <v>4674.04</v>
      </c>
      <c r="F13" s="74" t="n">
        <f aca="false">F6+F12</f>
        <v>4084.18</v>
      </c>
      <c r="G13" s="74" t="n">
        <f aca="false">G6+G12</f>
        <v>3544.32</v>
      </c>
      <c r="H13" s="74" t="n">
        <f aca="false">H6+H12</f>
        <v>1974.46</v>
      </c>
      <c r="I13" s="74" t="n">
        <f aca="false">I6+I12</f>
        <v>404.599999999999</v>
      </c>
      <c r="J13" s="74" t="n">
        <f aca="false">J6+J12</f>
        <v>-1185.26</v>
      </c>
      <c r="K13" s="74" t="n">
        <f aca="false">K6+K12</f>
        <v>-2825.12</v>
      </c>
      <c r="L13" s="74" t="n">
        <f aca="false">L6+L12</f>
        <v>-3964.98</v>
      </c>
      <c r="M13" s="74" t="n">
        <f aca="false">M6+M12</f>
        <v>-4954.84</v>
      </c>
      <c r="N13" s="74" t="n">
        <f aca="false">M13</f>
        <v>-4954.84</v>
      </c>
    </row>
    <row r="15" customFormat="false" ht="14.25" hidden="false" customHeight="true" outlineLevel="0" collapsed="false">
      <c r="A15" s="5" t="s">
        <v>359</v>
      </c>
    </row>
    <row r="16" customFormat="false" ht="14.25" hidden="false" customHeight="true" outlineLevel="0" collapsed="false">
      <c r="A16" s="76" t="s">
        <v>360</v>
      </c>
      <c r="C16" s="77" t="n">
        <f aca="false">MIN(B13:M13)</f>
        <v>-4954.84</v>
      </c>
      <c r="D16" s="77"/>
      <c r="E16" s="77"/>
      <c r="F16" s="78" t="s">
        <v>361</v>
      </c>
      <c r="G16" s="78"/>
      <c r="H16" s="78"/>
      <c r="I16" s="79" t="str">
        <f aca="false">INDEX($B$5:$M$5,MATCH(MIN(B13:M13),B13:M13,0))</f>
        <v>Déc</v>
      </c>
      <c r="J16" s="79"/>
    </row>
  </sheetData>
  <mergeCells count="6">
    <mergeCell ref="A1:N1"/>
    <mergeCell ref="A2:N2"/>
    <mergeCell ref="A4:N4"/>
    <mergeCell ref="C16:E16"/>
    <mergeCell ref="F16:H16"/>
    <mergeCell ref="I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9.09375" defaultRowHeight="14.2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10"/>
  </cols>
  <sheetData>
    <row r="1" customFormat="false" ht="27.75" hidden="false" customHeight="true" outlineLevel="0" collapsed="false">
      <c r="A1" s="2" t="s">
        <v>362</v>
      </c>
      <c r="B1" s="2"/>
      <c r="C1" s="2"/>
      <c r="D1" s="2"/>
      <c r="E1" s="2"/>
      <c r="F1" s="2"/>
      <c r="G1" s="2"/>
      <c r="H1" s="2"/>
    </row>
    <row r="2" customFormat="false" ht="14.25" hidden="false" customHeight="true" outlineLevel="0" collapsed="false">
      <c r="A2" s="3" t="s">
        <v>363</v>
      </c>
      <c r="B2" s="3"/>
      <c r="C2" s="3"/>
      <c r="D2" s="3"/>
      <c r="E2" s="3"/>
      <c r="F2" s="3"/>
      <c r="G2" s="3"/>
      <c r="H2" s="3"/>
    </row>
    <row r="4" customFormat="false" ht="14.25" hidden="false" customHeight="true" outlineLevel="0" collapsed="false">
      <c r="A4" s="80" t="s">
        <v>364</v>
      </c>
      <c r="B4" s="80"/>
      <c r="C4" s="80"/>
      <c r="D4" s="80"/>
      <c r="E4" s="80"/>
      <c r="F4" s="80"/>
      <c r="G4" s="80"/>
      <c r="H4" s="80"/>
    </row>
    <row r="5" customFormat="false" ht="14.25" hidden="false" customHeight="true" outlineLevel="0" collapsed="false">
      <c r="A5" s="81" t="s">
        <v>365</v>
      </c>
      <c r="B5" s="81"/>
      <c r="C5" s="81" t="s">
        <v>366</v>
      </c>
      <c r="D5" s="81"/>
      <c r="E5" s="81" t="s">
        <v>367</v>
      </c>
      <c r="F5" s="81"/>
      <c r="G5" s="81" t="s">
        <v>368</v>
      </c>
      <c r="H5" s="81"/>
    </row>
    <row r="6" customFormat="false" ht="14.25" hidden="false" customHeight="true" outlineLevel="0" collapsed="false">
      <c r="A6" s="10" t="s">
        <v>369</v>
      </c>
      <c r="B6" s="22" t="s">
        <v>370</v>
      </c>
      <c r="C6" s="52" t="n">
        <v>0.25</v>
      </c>
      <c r="D6" s="35"/>
      <c r="E6" s="52" t="n">
        <v>0.4</v>
      </c>
      <c r="F6" s="35"/>
      <c r="G6" s="52" t="n">
        <v>0.6</v>
      </c>
      <c r="H6" s="35"/>
    </row>
    <row r="7" customFormat="false" ht="14.25" hidden="false" customHeight="true" outlineLevel="0" collapsed="false">
      <c r="A7" s="10" t="s">
        <v>371</v>
      </c>
      <c r="B7" s="22"/>
      <c r="C7" s="82" t="n">
        <f aca="false">C6*8</f>
        <v>2</v>
      </c>
      <c r="D7" s="35"/>
      <c r="E7" s="82" t="n">
        <f aca="false">E6*8</f>
        <v>3.2</v>
      </c>
      <c r="F7" s="35"/>
      <c r="G7" s="82" t="n">
        <f aca="false">G6*8</f>
        <v>4.8</v>
      </c>
      <c r="H7" s="35"/>
    </row>
    <row r="8" customFormat="false" ht="25.5" hidden="false" customHeight="true" outlineLevel="0" collapsed="false">
      <c r="A8" s="10" t="s">
        <v>372</v>
      </c>
      <c r="B8" s="22"/>
      <c r="C8" s="61" t="n">
        <v>2</v>
      </c>
      <c r="D8" s="35"/>
      <c r="E8" s="61" t="n">
        <v>5</v>
      </c>
      <c r="F8" s="35"/>
      <c r="G8" s="61" t="n">
        <v>10</v>
      </c>
      <c r="H8" s="35"/>
    </row>
    <row r="9" customFormat="false" ht="25.5" hidden="false" customHeight="true" outlineLevel="0" collapsed="false">
      <c r="A9" s="10" t="s">
        <v>373</v>
      </c>
      <c r="B9" s="22"/>
      <c r="C9" s="61" t="n">
        <v>5</v>
      </c>
      <c r="D9" s="35"/>
      <c r="E9" s="61" t="n">
        <v>11</v>
      </c>
      <c r="F9" s="35"/>
      <c r="G9" s="61" t="n">
        <v>20</v>
      </c>
      <c r="H9" s="35"/>
    </row>
    <row r="10" customFormat="false" ht="14.25" hidden="false" customHeight="true" outlineLevel="0" collapsed="false">
      <c r="A10" s="10" t="s">
        <v>374</v>
      </c>
      <c r="B10" s="22"/>
      <c r="C10" s="61" t="n">
        <v>3</v>
      </c>
      <c r="D10" s="35"/>
      <c r="E10" s="61" t="n">
        <v>6</v>
      </c>
      <c r="F10" s="35"/>
      <c r="G10" s="61" t="n">
        <v>10</v>
      </c>
      <c r="H10" s="35"/>
    </row>
    <row r="11" customFormat="false" ht="14.25" hidden="false" customHeight="true" outlineLevel="0" collapsed="false">
      <c r="A11" s="10" t="s">
        <v>375</v>
      </c>
      <c r="B11" s="22"/>
      <c r="C11" s="61" t="n">
        <v>1</v>
      </c>
      <c r="D11" s="35"/>
      <c r="E11" s="61" t="n">
        <v>3</v>
      </c>
      <c r="F11" s="35"/>
      <c r="G11" s="61" t="n">
        <v>6</v>
      </c>
      <c r="H11" s="35"/>
    </row>
    <row r="12" customFormat="false" ht="14.25" hidden="false" customHeight="true" outlineLevel="0" collapsed="false">
      <c r="A12" s="10" t="s">
        <v>376</v>
      </c>
      <c r="B12" s="22"/>
      <c r="C12" s="61" t="n">
        <v>2</v>
      </c>
      <c r="D12" s="35"/>
      <c r="E12" s="61" t="n">
        <v>4</v>
      </c>
      <c r="F12" s="35"/>
      <c r="G12" s="61" t="n">
        <v>7</v>
      </c>
      <c r="H12" s="35"/>
    </row>
    <row r="13" customFormat="false" ht="14.25" hidden="false" customHeight="true" outlineLevel="0" collapsed="false">
      <c r="A13" s="10" t="s">
        <v>377</v>
      </c>
      <c r="B13" s="22"/>
      <c r="C13" s="61" t="n">
        <v>20</v>
      </c>
      <c r="D13" s="35"/>
      <c r="E13" s="61" t="n">
        <v>30</v>
      </c>
      <c r="F13" s="35"/>
      <c r="G13" s="61" t="n">
        <v>45</v>
      </c>
      <c r="H13" s="35"/>
    </row>
    <row r="16" customFormat="false" ht="14.25" hidden="false" customHeight="true" outlineLevel="0" collapsed="false">
      <c r="A16" s="80" t="s">
        <v>378</v>
      </c>
      <c r="B16" s="80"/>
      <c r="C16" s="80"/>
      <c r="D16" s="80"/>
      <c r="E16" s="80"/>
      <c r="F16" s="80"/>
      <c r="G16" s="80"/>
      <c r="H16" s="80"/>
    </row>
    <row r="17" customFormat="false" ht="14.25" hidden="false" customHeight="true" outlineLevel="0" collapsed="false">
      <c r="A17" s="81" t="s">
        <v>379</v>
      </c>
      <c r="B17" s="81"/>
      <c r="C17" s="81" t="s">
        <v>380</v>
      </c>
      <c r="D17" s="81"/>
      <c r="E17" s="81" t="s">
        <v>381</v>
      </c>
      <c r="F17" s="81"/>
      <c r="G17" s="81" t="s">
        <v>382</v>
      </c>
      <c r="H17" s="81"/>
    </row>
    <row r="18" customFormat="false" ht="14.25" hidden="false" customHeight="true" outlineLevel="0" collapsed="false">
      <c r="A18" s="10" t="s">
        <v>383</v>
      </c>
      <c r="B18" s="10"/>
      <c r="C18" s="46" t="n">
        <f aca="false">C6*29376</f>
        <v>7344</v>
      </c>
      <c r="D18" s="46"/>
      <c r="E18" s="46" t="n">
        <f aca="false">E6*29376</f>
        <v>11750.4</v>
      </c>
      <c r="F18" s="46"/>
      <c r="G18" s="46" t="n">
        <f aca="false">G6*29376</f>
        <v>17625.6</v>
      </c>
      <c r="H18" s="46"/>
    </row>
    <row r="19" customFormat="false" ht="14.25" hidden="false" customHeight="true" outlineLevel="0" collapsed="false">
      <c r="A19" s="10" t="s">
        <v>384</v>
      </c>
      <c r="B19" s="10"/>
      <c r="C19" s="46" t="n">
        <f aca="false">C18*0.23</f>
        <v>1689.12</v>
      </c>
      <c r="D19" s="46"/>
      <c r="E19" s="46" t="n">
        <f aca="false">E18*0.23</f>
        <v>2702.592</v>
      </c>
      <c r="F19" s="46"/>
      <c r="G19" s="46" t="n">
        <f aca="false">G18*0.23</f>
        <v>4053.888</v>
      </c>
      <c r="H19" s="46"/>
    </row>
    <row r="20" customFormat="false" ht="14.25" hidden="false" customHeight="true" outlineLevel="0" collapsed="false">
      <c r="A20" s="10" t="s">
        <v>327</v>
      </c>
      <c r="B20" s="10"/>
      <c r="C20" s="46" t="n">
        <f aca="false">C8*180*12</f>
        <v>4320</v>
      </c>
      <c r="D20" s="46"/>
      <c r="E20" s="46" t="n">
        <f aca="false">E8*180*12</f>
        <v>10800</v>
      </c>
      <c r="F20" s="46"/>
      <c r="G20" s="46" t="n">
        <f aca="false">G8*180*12</f>
        <v>21600</v>
      </c>
      <c r="H20" s="46"/>
    </row>
    <row r="21" customFormat="false" ht="14.25" hidden="false" customHeight="true" outlineLevel="0" collapsed="false">
      <c r="A21" s="10" t="s">
        <v>385</v>
      </c>
      <c r="B21" s="10"/>
      <c r="C21" s="46" t="n">
        <f aca="false">C9*17*12</f>
        <v>1020</v>
      </c>
      <c r="D21" s="46"/>
      <c r="E21" s="46" t="n">
        <f aca="false">E9*17*12</f>
        <v>2244</v>
      </c>
      <c r="F21" s="46"/>
      <c r="G21" s="46" t="n">
        <f aca="false">G9*17*12</f>
        <v>4080</v>
      </c>
      <c r="H21" s="46"/>
    </row>
    <row r="22" customFormat="false" ht="14.25" hidden="false" customHeight="true" outlineLevel="0" collapsed="false">
      <c r="A22" s="10" t="s">
        <v>328</v>
      </c>
      <c r="B22" s="10"/>
      <c r="C22" s="46" t="n">
        <f aca="false">C10*115*12</f>
        <v>4140</v>
      </c>
      <c r="D22" s="46"/>
      <c r="E22" s="46" t="n">
        <f aca="false">E10*115*12</f>
        <v>8280</v>
      </c>
      <c r="F22" s="46"/>
      <c r="G22" s="46" t="n">
        <f aca="false">G10*115*12</f>
        <v>13800</v>
      </c>
      <c r="H22" s="46"/>
    </row>
    <row r="23" customFormat="false" ht="14.25" hidden="false" customHeight="true" outlineLevel="0" collapsed="false">
      <c r="A23" s="10" t="s">
        <v>329</v>
      </c>
      <c r="B23" s="10"/>
      <c r="C23" s="46" t="n">
        <f aca="false">C11*45*12</f>
        <v>540</v>
      </c>
      <c r="D23" s="46"/>
      <c r="E23" s="46" t="n">
        <f aca="false">E11*45*12</f>
        <v>1620</v>
      </c>
      <c r="F23" s="46"/>
      <c r="G23" s="46" t="n">
        <f aca="false">G11*45*12</f>
        <v>3240</v>
      </c>
      <c r="H23" s="46"/>
    </row>
    <row r="24" customFormat="false" ht="14.25" hidden="false" customHeight="true" outlineLevel="0" collapsed="false">
      <c r="A24" s="10" t="s">
        <v>330</v>
      </c>
      <c r="B24" s="10"/>
      <c r="C24" s="46" t="n">
        <f aca="false">C12*5*12</f>
        <v>120</v>
      </c>
      <c r="D24" s="46"/>
      <c r="E24" s="46" t="n">
        <f aca="false">E12*5*12</f>
        <v>240</v>
      </c>
      <c r="F24" s="46"/>
      <c r="G24" s="46" t="n">
        <f aca="false">G12*5*12</f>
        <v>420</v>
      </c>
      <c r="H24" s="46"/>
    </row>
    <row r="25" customFormat="false" ht="14.25" hidden="false" customHeight="true" outlineLevel="0" collapsed="false">
      <c r="A25" s="10" t="s">
        <v>386</v>
      </c>
      <c r="B25" s="10"/>
      <c r="C25" s="46" t="n">
        <f aca="false">C13*55</f>
        <v>1100</v>
      </c>
      <c r="D25" s="46"/>
      <c r="E25" s="46" t="n">
        <f aca="false">E13*55</f>
        <v>1650</v>
      </c>
      <c r="F25" s="46"/>
      <c r="G25" s="46" t="n">
        <f aca="false">G13*55</f>
        <v>2475</v>
      </c>
      <c r="H25" s="46"/>
    </row>
    <row r="27" customFormat="false" ht="14.25" hidden="false" customHeight="true" outlineLevel="0" collapsed="false">
      <c r="A27" s="64" t="s">
        <v>387</v>
      </c>
      <c r="B27" s="64"/>
      <c r="C27" s="65" t="n">
        <f aca="false">SUM(C18:C25)</f>
        <v>20273.12</v>
      </c>
      <c r="D27" s="65"/>
      <c r="E27" s="65" t="n">
        <f aca="false">SUM(E18:E25)</f>
        <v>39286.992</v>
      </c>
      <c r="F27" s="65"/>
      <c r="G27" s="65" t="n">
        <f aca="false">SUM(G18:G25)</f>
        <v>67294.488</v>
      </c>
      <c r="H27" s="65"/>
    </row>
    <row r="28" customFormat="false" ht="14.25" hidden="false" customHeight="true" outlineLevel="0" collapsed="false">
      <c r="A28" s="64" t="s">
        <v>388</v>
      </c>
      <c r="B28" s="64"/>
      <c r="C28" s="83" t="n">
        <f aca="false">'📈 Compte de résultat'!N33*0.95</f>
        <v>23042.098</v>
      </c>
      <c r="D28" s="83"/>
      <c r="E28" s="83" t="n">
        <f aca="false">'📈 Compte de résultat'!N33*1</f>
        <v>24254.84</v>
      </c>
      <c r="F28" s="83"/>
      <c r="G28" s="83" t="n">
        <f aca="false">'📈 Compte de résultat'!N33*1.08</f>
        <v>26195.2272</v>
      </c>
      <c r="H28" s="83"/>
    </row>
    <row r="29" customFormat="false" ht="14.25" hidden="false" customHeight="true" outlineLevel="0" collapsed="false">
      <c r="A29" s="73" t="s">
        <v>389</v>
      </c>
      <c r="B29" s="73"/>
      <c r="C29" s="74" t="n">
        <f aca="false">C27-C28</f>
        <v>-2768.978</v>
      </c>
      <c r="D29" s="74"/>
      <c r="E29" s="74" t="n">
        <f aca="false">E27-E28</f>
        <v>15032.152</v>
      </c>
      <c r="F29" s="74"/>
      <c r="G29" s="74" t="n">
        <f aca="false">G27-G28</f>
        <v>41099.2608</v>
      </c>
      <c r="H29" s="74"/>
    </row>
    <row r="31" customFormat="false" ht="14.25" hidden="false" customHeight="true" outlineLevel="0" collapsed="false">
      <c r="A31" s="80" t="s">
        <v>390</v>
      </c>
      <c r="B31" s="80"/>
      <c r="C31" s="80"/>
      <c r="D31" s="80"/>
      <c r="E31" s="80"/>
      <c r="F31" s="80"/>
      <c r="G31" s="80"/>
      <c r="H31" s="80"/>
    </row>
    <row r="32" customFormat="false" ht="23.25" hidden="false" customHeight="true" outlineLevel="0" collapsed="false">
      <c r="A32" s="5" t="s">
        <v>366</v>
      </c>
      <c r="B32" s="10" t="s">
        <v>391</v>
      </c>
      <c r="C32" s="10"/>
      <c r="D32" s="10"/>
      <c r="E32" s="22" t="s">
        <v>392</v>
      </c>
      <c r="F32" s="22"/>
      <c r="G32" s="22"/>
      <c r="H32" s="22"/>
    </row>
    <row r="33" customFormat="false" ht="23.25" hidden="false" customHeight="true" outlineLevel="0" collapsed="false">
      <c r="A33" s="5" t="s">
        <v>367</v>
      </c>
      <c r="B33" s="10" t="s">
        <v>393</v>
      </c>
      <c r="C33" s="10"/>
      <c r="D33" s="10"/>
      <c r="E33" s="22" t="s">
        <v>394</v>
      </c>
      <c r="F33" s="22"/>
      <c r="G33" s="22"/>
      <c r="H33" s="22"/>
    </row>
    <row r="34" customFormat="false" ht="23.25" hidden="false" customHeight="true" outlineLevel="0" collapsed="false">
      <c r="A34" s="5" t="s">
        <v>368</v>
      </c>
      <c r="B34" s="10" t="s">
        <v>395</v>
      </c>
      <c r="C34" s="10"/>
      <c r="D34" s="10"/>
      <c r="E34" s="22" t="s">
        <v>396</v>
      </c>
      <c r="F34" s="22"/>
      <c r="G34" s="22"/>
      <c r="H34" s="22"/>
    </row>
    <row r="36" customFormat="false" ht="14.25" hidden="false" customHeight="true" outlineLevel="0" collapsed="false">
      <c r="A36" s="80" t="s">
        <v>397</v>
      </c>
      <c r="B36" s="80"/>
      <c r="C36" s="80"/>
      <c r="D36" s="80"/>
      <c r="E36" s="80"/>
      <c r="F36" s="80"/>
      <c r="G36" s="80"/>
      <c r="H36" s="80"/>
    </row>
    <row r="37" customFormat="false" ht="14.25" hidden="false" customHeight="true" outlineLevel="0" collapsed="false">
      <c r="A37" s="10" t="s">
        <v>398</v>
      </c>
      <c r="B37" s="10"/>
      <c r="C37" s="10"/>
      <c r="D37" s="10"/>
      <c r="E37" s="24" t="n">
        <f aca="false">'📈 Compte de résultat'!B37</f>
        <v>2883.19333333333</v>
      </c>
      <c r="F37" s="24"/>
      <c r="G37" s="24"/>
      <c r="H37" s="24"/>
    </row>
    <row r="38" customFormat="false" ht="14.25" hidden="false" customHeight="true" outlineLevel="0" collapsed="false">
      <c r="A38" s="10" t="s">
        <v>399</v>
      </c>
      <c r="B38" s="10"/>
      <c r="C38" s="10"/>
      <c r="D38" s="10"/>
      <c r="E38" s="84" t="n">
        <f aca="false">E37/306</f>
        <v>9.42220043572985</v>
      </c>
      <c r="F38" s="84"/>
      <c r="G38" s="84"/>
      <c r="H38" s="84"/>
    </row>
    <row r="39" customFormat="false" ht="14.25" hidden="false" customHeight="true" outlineLevel="0" collapsed="false">
      <c r="A39" s="10" t="s">
        <v>400</v>
      </c>
      <c r="B39" s="10"/>
      <c r="C39" s="10"/>
      <c r="D39" s="10"/>
      <c r="E39" s="84" t="n">
        <f aca="false">E37/180</f>
        <v>16.0177407407407</v>
      </c>
      <c r="F39" s="84"/>
      <c r="G39" s="84"/>
      <c r="H39" s="84"/>
    </row>
    <row r="40" customFormat="false" ht="14.25" hidden="false" customHeight="true" outlineLevel="0" collapsed="false">
      <c r="A40" s="10" t="s">
        <v>401</v>
      </c>
      <c r="B40" s="10"/>
      <c r="C40" s="10"/>
      <c r="D40" s="10"/>
      <c r="E40" s="85"/>
      <c r="F40" s="85"/>
      <c r="G40" s="85"/>
      <c r="H40" s="85"/>
    </row>
  </sheetData>
  <mergeCells count="64">
    <mergeCell ref="A1:H1"/>
    <mergeCell ref="A2:H2"/>
    <mergeCell ref="A4:H4"/>
    <mergeCell ref="A16:H16"/>
    <mergeCell ref="A18:B18"/>
    <mergeCell ref="C18:D18"/>
    <mergeCell ref="E18:F18"/>
    <mergeCell ref="G18:H18"/>
    <mergeCell ref="A19:B19"/>
    <mergeCell ref="C19:D19"/>
    <mergeCell ref="E19:F19"/>
    <mergeCell ref="G19:H19"/>
    <mergeCell ref="A20:B20"/>
    <mergeCell ref="C20:D20"/>
    <mergeCell ref="E20:F20"/>
    <mergeCell ref="G20:H20"/>
    <mergeCell ref="A21:B21"/>
    <mergeCell ref="C21:D21"/>
    <mergeCell ref="E21:F21"/>
    <mergeCell ref="G21:H21"/>
    <mergeCell ref="A22:B22"/>
    <mergeCell ref="C22:D22"/>
    <mergeCell ref="E22:F22"/>
    <mergeCell ref="G22:H22"/>
    <mergeCell ref="A23:B23"/>
    <mergeCell ref="C23:D23"/>
    <mergeCell ref="E23:F23"/>
    <mergeCell ref="G23:H23"/>
    <mergeCell ref="A24:B24"/>
    <mergeCell ref="C24:D24"/>
    <mergeCell ref="E24:F24"/>
    <mergeCell ref="G24:H24"/>
    <mergeCell ref="A25:B25"/>
    <mergeCell ref="C25:D25"/>
    <mergeCell ref="E25:F25"/>
    <mergeCell ref="G25:H25"/>
    <mergeCell ref="A27:B27"/>
    <mergeCell ref="C27:D27"/>
    <mergeCell ref="E27:F27"/>
    <mergeCell ref="G27:H27"/>
    <mergeCell ref="A28:B28"/>
    <mergeCell ref="C28:D28"/>
    <mergeCell ref="E28:F28"/>
    <mergeCell ref="G28:H28"/>
    <mergeCell ref="A29:B29"/>
    <mergeCell ref="C29:D29"/>
    <mergeCell ref="E29:F29"/>
    <mergeCell ref="G29:H29"/>
    <mergeCell ref="A31:H31"/>
    <mergeCell ref="B32:D32"/>
    <mergeCell ref="E32:H32"/>
    <mergeCell ref="B33:D33"/>
    <mergeCell ref="E33:H33"/>
    <mergeCell ref="B34:D34"/>
    <mergeCell ref="E34:H34"/>
    <mergeCell ref="A36:H36"/>
    <mergeCell ref="A37:D37"/>
    <mergeCell ref="E37:H37"/>
    <mergeCell ref="A38:D38"/>
    <mergeCell ref="E38:H38"/>
    <mergeCell ref="A39:D39"/>
    <mergeCell ref="E39:H39"/>
    <mergeCell ref="A40:D40"/>
    <mergeCell ref="E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937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7" min="5" style="1" width="10"/>
    <col collapsed="false" customWidth="true" hidden="false" outlineLevel="0" max="8" min="8" style="1" width="28"/>
  </cols>
  <sheetData>
    <row r="1" customFormat="false" ht="27.75" hidden="false" customHeight="true" outlineLevel="0" collapsed="false">
      <c r="A1" s="2" t="s">
        <v>402</v>
      </c>
      <c r="B1" s="2"/>
      <c r="C1" s="2"/>
      <c r="D1" s="2"/>
      <c r="E1" s="2"/>
      <c r="F1" s="2"/>
      <c r="G1" s="2"/>
      <c r="H1" s="2"/>
    </row>
    <row r="2" customFormat="false" ht="14.25" hidden="false" customHeight="true" outlineLevel="0" collapsed="false">
      <c r="A2" s="3" t="s">
        <v>403</v>
      </c>
      <c r="B2" s="3"/>
      <c r="C2" s="3"/>
      <c r="D2" s="3"/>
      <c r="E2" s="3"/>
      <c r="F2" s="3"/>
      <c r="G2" s="3"/>
      <c r="H2" s="3"/>
    </row>
    <row r="4" customFormat="false" ht="14.25" hidden="false" customHeight="true" outlineLevel="0" collapsed="false">
      <c r="A4" s="86" t="s">
        <v>404</v>
      </c>
      <c r="B4" s="86"/>
      <c r="C4" s="86"/>
      <c r="D4" s="86"/>
      <c r="E4" s="86"/>
      <c r="F4" s="86"/>
      <c r="G4" s="86"/>
      <c r="H4" s="86"/>
    </row>
    <row r="5" customFormat="false" ht="14.25" hidden="false" customHeight="true" outlineLevel="0" collapsed="false">
      <c r="A5" s="81" t="s">
        <v>379</v>
      </c>
      <c r="B5" s="81" t="s">
        <v>405</v>
      </c>
      <c r="C5" s="81" t="s">
        <v>406</v>
      </c>
      <c r="D5" s="81" t="s">
        <v>407</v>
      </c>
      <c r="E5" s="81" t="s">
        <v>408</v>
      </c>
      <c r="F5" s="81"/>
      <c r="G5" s="81"/>
      <c r="H5" s="81" t="s">
        <v>48</v>
      </c>
    </row>
    <row r="6" customFormat="false" ht="14.25" hidden="false" customHeight="true" outlineLevel="0" collapsed="false">
      <c r="A6" s="87" t="s">
        <v>409</v>
      </c>
      <c r="B6" s="88"/>
      <c r="C6" s="88"/>
      <c r="D6" s="88"/>
      <c r="E6" s="88"/>
      <c r="F6" s="88"/>
    </row>
    <row r="7" customFormat="false" ht="14.25" hidden="false" customHeight="true" outlineLevel="0" collapsed="false">
      <c r="A7" s="10" t="s">
        <v>324</v>
      </c>
      <c r="B7" s="22" t="s">
        <v>410</v>
      </c>
      <c r="C7" s="21" t="n">
        <f aca="false">'📈 Compte de résultat'!N6</f>
        <v>10404</v>
      </c>
      <c r="D7" s="21" t="n">
        <f aca="false">'📈 Compte de résultat'!N6*1.65</f>
        <v>17166.6</v>
      </c>
      <c r="E7" s="19" t="n">
        <f aca="false">IFERROR((D7-C7)/C7,"—")</f>
        <v>0.65</v>
      </c>
      <c r="F7" s="1" t="s">
        <v>411</v>
      </c>
    </row>
    <row r="8" customFormat="false" ht="14.25" hidden="false" customHeight="true" outlineLevel="0" collapsed="false">
      <c r="A8" s="10" t="s">
        <v>384</v>
      </c>
      <c r="B8" s="22" t="s">
        <v>412</v>
      </c>
      <c r="C8" s="21" t="n">
        <f aca="false">'📈 Compte de résultat'!N7</f>
        <v>2392.92</v>
      </c>
      <c r="D8" s="34" t="n">
        <f aca="false">D7*0.23</f>
        <v>3948.318</v>
      </c>
      <c r="E8" s="19" t="n">
        <f aca="false">IFERROR((D8-C8)/C8,"—")</f>
        <v>0.65</v>
      </c>
      <c r="F8" s="1" t="s">
        <v>413</v>
      </c>
    </row>
    <row r="9" customFormat="false" ht="14.25" hidden="false" customHeight="true" outlineLevel="0" collapsed="false">
      <c r="A9" s="10" t="s">
        <v>385</v>
      </c>
      <c r="B9" s="22" t="s">
        <v>414</v>
      </c>
      <c r="C9" s="21" t="n">
        <f aca="false">'📈 Compte de résultat'!N8</f>
        <v>3823.8</v>
      </c>
      <c r="D9" s="21" t="n">
        <f aca="false">'📈 Compte de résultat'!N8*2</f>
        <v>7647.6</v>
      </c>
      <c r="E9" s="19" t="n">
        <f aca="false">IFERROR((D9-C9)/C9,"—")</f>
        <v>1</v>
      </c>
      <c r="F9" s="1" t="s">
        <v>415</v>
      </c>
    </row>
    <row r="10" customFormat="false" ht="14.25" hidden="false" customHeight="true" outlineLevel="0" collapsed="false">
      <c r="A10" s="10" t="s">
        <v>327</v>
      </c>
      <c r="B10" s="22" t="s">
        <v>416</v>
      </c>
      <c r="C10" s="21" t="n">
        <f aca="false">'📈 Compte de résultat'!N9</f>
        <v>0</v>
      </c>
      <c r="D10" s="21" t="n">
        <f aca="false">'📈 Compte de résultat'!N9*2</f>
        <v>0</v>
      </c>
      <c r="E10" s="19" t="str">
        <f aca="false">IFERROR((D10-C10)/C10,"—")</f>
        <v>—</v>
      </c>
      <c r="F10" s="1" t="s">
        <v>417</v>
      </c>
    </row>
    <row r="11" customFormat="false" ht="14.25" hidden="false" customHeight="true" outlineLevel="0" collapsed="false">
      <c r="A11" s="10" t="s">
        <v>328</v>
      </c>
      <c r="B11" s="22" t="s">
        <v>418</v>
      </c>
      <c r="C11" s="21" t="n">
        <f aca="false">'📈 Compte de résultat'!N10</f>
        <v>2160</v>
      </c>
      <c r="D11" s="21" t="n">
        <f aca="false">'📈 Compte de résultat'!N10*1.5</f>
        <v>3240</v>
      </c>
      <c r="E11" s="19" t="n">
        <f aca="false">IFERROR((D11-C11)/C11,"—")</f>
        <v>0.5</v>
      </c>
      <c r="F11" s="1" t="s">
        <v>419</v>
      </c>
    </row>
    <row r="12" customFormat="false" ht="14.25" hidden="false" customHeight="true" outlineLevel="0" collapsed="false">
      <c r="A12" s="10" t="s">
        <v>329</v>
      </c>
      <c r="B12" s="22" t="s">
        <v>420</v>
      </c>
      <c r="C12" s="21" t="n">
        <f aca="false">'📈 Compte de résultat'!N11</f>
        <v>64</v>
      </c>
      <c r="D12" s="21" t="n">
        <f aca="false">'📈 Compte de résultat'!N11*2</f>
        <v>128</v>
      </c>
      <c r="E12" s="19" t="n">
        <f aca="false">IFERROR((D12-C12)/C12,"—")</f>
        <v>1</v>
      </c>
      <c r="F12" s="1" t="s">
        <v>421</v>
      </c>
    </row>
    <row r="13" customFormat="false" ht="14.25" hidden="false" customHeight="true" outlineLevel="0" collapsed="false">
      <c r="A13" s="10" t="s">
        <v>330</v>
      </c>
      <c r="B13" s="22" t="s">
        <v>422</v>
      </c>
      <c r="C13" s="21" t="n">
        <f aca="false">'📈 Compte de résultat'!N12</f>
        <v>7360</v>
      </c>
      <c r="D13" s="21" t="n">
        <f aca="false">'📈 Compte de résultat'!N12*1.5</f>
        <v>11040</v>
      </c>
      <c r="E13" s="19" t="n">
        <f aca="false">IFERROR((D13-C13)/C13,"—")</f>
        <v>0.5</v>
      </c>
    </row>
    <row r="14" customFormat="false" ht="14.25" hidden="false" customHeight="true" outlineLevel="0" collapsed="false">
      <c r="A14" s="10" t="s">
        <v>423</v>
      </c>
      <c r="B14" s="22" t="s">
        <v>424</v>
      </c>
      <c r="C14" s="21" t="n">
        <f aca="false">'📈 Compte de résultat'!N13</f>
        <v>0</v>
      </c>
      <c r="D14" s="21" t="n">
        <f aca="false">'📈 Compte de résultat'!N13*1.3</f>
        <v>0</v>
      </c>
      <c r="E14" s="19" t="str">
        <f aca="false">IFERROR((D14-C14)/C14,"—")</f>
        <v>—</v>
      </c>
      <c r="F14" s="1" t="s">
        <v>425</v>
      </c>
    </row>
    <row r="15" customFormat="false" ht="25.5" hidden="false" customHeight="true" outlineLevel="0" collapsed="false">
      <c r="A15" s="10" t="s">
        <v>426</v>
      </c>
      <c r="B15" s="22" t="s">
        <v>427</v>
      </c>
      <c r="C15" s="34" t="n">
        <v>0</v>
      </c>
      <c r="D15" s="34" t="n">
        <v>5000</v>
      </c>
      <c r="E15" s="19" t="str">
        <f aca="false">IFERROR((D15-C15)/C15,"—")</f>
        <v>—</v>
      </c>
      <c r="F15" s="1" t="s">
        <v>428</v>
      </c>
    </row>
    <row r="17" customFormat="false" ht="14.25" hidden="false" customHeight="true" outlineLevel="0" collapsed="false">
      <c r="A17" s="64" t="s">
        <v>429</v>
      </c>
      <c r="B17" s="64"/>
      <c r="C17" s="65" t="n">
        <f aca="false">SUM(C7:C15)</f>
        <v>26204.72</v>
      </c>
      <c r="D17" s="65" t="n">
        <f aca="false">SUM(D7:D15)</f>
        <v>48170.518</v>
      </c>
      <c r="E17" s="89" t="n">
        <f aca="false">IFERROR((D17-C17)/C17,"—")</f>
        <v>0.838238225785278</v>
      </c>
    </row>
    <row r="19" customFormat="false" ht="14.25" hidden="false" customHeight="true" outlineLevel="0" collapsed="false">
      <c r="A19" s="66" t="s">
        <v>430</v>
      </c>
      <c r="B19" s="66"/>
      <c r="C19" s="66"/>
      <c r="D19" s="66"/>
      <c r="E19" s="66"/>
      <c r="F19" s="66"/>
      <c r="G19" s="66"/>
      <c r="H19" s="66"/>
    </row>
    <row r="20" customFormat="false" ht="25.5" hidden="false" customHeight="true" outlineLevel="0" collapsed="false">
      <c r="A20" s="10" t="s">
        <v>431</v>
      </c>
      <c r="B20" s="22" t="s">
        <v>432</v>
      </c>
      <c r="C20" s="21" t="n">
        <f aca="false">'📈 Compte de résultat'!N23</f>
        <v>13200</v>
      </c>
      <c r="D20" s="34" t="n">
        <v>23400</v>
      </c>
      <c r="E20" s="22" t="s">
        <v>433</v>
      </c>
      <c r="F20" s="22"/>
      <c r="G20" s="22"/>
      <c r="H20" s="22"/>
    </row>
    <row r="21" customFormat="false" ht="25.5" hidden="false" customHeight="true" outlineLevel="0" collapsed="false">
      <c r="A21" s="10" t="s">
        <v>434</v>
      </c>
      <c r="B21" s="22" t="s">
        <v>435</v>
      </c>
      <c r="C21" s="21" t="n">
        <f aca="false">SUM('📈 Compte de résultat'!N24:N26)</f>
        <v>4680</v>
      </c>
      <c r="D21" s="34" t="n">
        <v>4580</v>
      </c>
      <c r="E21" s="22" t="s">
        <v>436</v>
      </c>
      <c r="F21" s="22"/>
      <c r="G21" s="22"/>
      <c r="H21" s="22"/>
    </row>
    <row r="22" customFormat="false" ht="14.25" hidden="false" customHeight="true" outlineLevel="0" collapsed="false">
      <c r="A22" s="10" t="s">
        <v>437</v>
      </c>
      <c r="B22" s="22" t="s">
        <v>438</v>
      </c>
      <c r="C22" s="21" t="n">
        <f aca="false">SUM('📈 Compte de résultat'!N27:N29)</f>
        <v>3530</v>
      </c>
      <c r="D22" s="21" t="n">
        <f aca="false">C21*1.02</f>
        <v>4773.6</v>
      </c>
      <c r="E22" s="22" t="s">
        <v>439</v>
      </c>
      <c r="F22" s="22"/>
      <c r="G22" s="22"/>
      <c r="H22" s="22"/>
    </row>
    <row r="23" customFormat="false" ht="14.25" hidden="false" customHeight="true" outlineLevel="0" collapsed="false">
      <c r="A23" s="10" t="s">
        <v>343</v>
      </c>
      <c r="B23" s="22" t="s">
        <v>440</v>
      </c>
      <c r="C23" s="21" t="n">
        <f aca="false">'📈 Compte de résultat'!N30</f>
        <v>544.84</v>
      </c>
      <c r="D23" s="21" t="n">
        <f aca="false">C22*1.03</f>
        <v>3635.9</v>
      </c>
      <c r="E23" s="22" t="s">
        <v>441</v>
      </c>
      <c r="F23" s="22"/>
      <c r="G23" s="22"/>
      <c r="H23" s="22"/>
    </row>
    <row r="24" customFormat="false" ht="14.25" hidden="false" customHeight="true" outlineLevel="0" collapsed="false">
      <c r="A24" s="10" t="s">
        <v>344</v>
      </c>
      <c r="B24" s="22" t="s">
        <v>442</v>
      </c>
      <c r="C24" s="21" t="n">
        <f aca="false">'📈 Compte de résultat'!N31</f>
        <v>480</v>
      </c>
      <c r="D24" s="21" t="n">
        <f aca="false">C23*2</f>
        <v>1089.68</v>
      </c>
      <c r="E24" s="22" t="s">
        <v>443</v>
      </c>
      <c r="F24" s="22"/>
      <c r="G24" s="22"/>
      <c r="H24" s="22"/>
    </row>
    <row r="25" customFormat="false" ht="14.25" hidden="false" customHeight="true" outlineLevel="0" collapsed="false">
      <c r="A25" s="10" t="s">
        <v>267</v>
      </c>
      <c r="B25" s="22" t="s">
        <v>444</v>
      </c>
      <c r="C25" s="21" t="n">
        <f aca="false">'📈 Compte de résultat'!N32</f>
        <v>1100</v>
      </c>
      <c r="D25" s="21" t="n">
        <f aca="false">C24*0.8</f>
        <v>384</v>
      </c>
      <c r="E25" s="22" t="s">
        <v>445</v>
      </c>
      <c r="F25" s="22"/>
      <c r="G25" s="22"/>
      <c r="H25" s="22"/>
    </row>
    <row r="26" customFormat="false" ht="14.25" hidden="false" customHeight="true" outlineLevel="0" collapsed="false">
      <c r="A26" s="10" t="s">
        <v>446</v>
      </c>
      <c r="B26" s="22" t="s">
        <v>447</v>
      </c>
      <c r="C26" s="21" t="n">
        <f aca="false">'📈 Compte de résultat'!N33</f>
        <v>24254.84</v>
      </c>
      <c r="D26" s="21" t="n">
        <f aca="false">'📈 Compte de résultat'!N33</f>
        <v>24254.84</v>
      </c>
      <c r="E26" s="22" t="s">
        <v>448</v>
      </c>
      <c r="F26" s="22"/>
      <c r="G26" s="22"/>
      <c r="H26" s="22"/>
    </row>
    <row r="27" customFormat="false" ht="14.25" hidden="false" customHeight="true" outlineLevel="0" collapsed="false">
      <c r="A27" s="10" t="s">
        <v>449</v>
      </c>
      <c r="B27" s="22" t="s">
        <v>450</v>
      </c>
      <c r="C27" s="21" t="n">
        <f aca="false">'📈 Compte de résultat'!N34</f>
        <v>720</v>
      </c>
      <c r="D27" s="21" t="n">
        <f aca="false">C26*1.05</f>
        <v>25467.582</v>
      </c>
      <c r="E27" s="22" t="s">
        <v>451</v>
      </c>
      <c r="F27" s="22"/>
      <c r="G27" s="22"/>
      <c r="H27" s="22"/>
    </row>
    <row r="28" customFormat="false" ht="14.25" hidden="false" customHeight="true" outlineLevel="0" collapsed="false">
      <c r="A28" s="10" t="s">
        <v>452</v>
      </c>
      <c r="B28" s="22" t="s">
        <v>453</v>
      </c>
      <c r="C28" s="21" t="n">
        <f aca="false">'📈 Compte de résultat'!N35</f>
        <v>1949.88</v>
      </c>
      <c r="D28" s="21" t="n">
        <f aca="false">C27*1.05</f>
        <v>756</v>
      </c>
      <c r="E28" s="22"/>
      <c r="F28" s="22"/>
      <c r="G28" s="22"/>
      <c r="H28" s="22"/>
    </row>
    <row r="29" customFormat="false" ht="14.25" hidden="false" customHeight="true" outlineLevel="0" collapsed="false">
      <c r="A29" s="64" t="s">
        <v>454</v>
      </c>
      <c r="B29" s="64"/>
      <c r="C29" s="65" t="n">
        <f aca="false">SUM(C20:C28)</f>
        <v>50459.56</v>
      </c>
      <c r="D29" s="65" t="n">
        <f aca="false">SUM(D20:D28)</f>
        <v>88341.602</v>
      </c>
    </row>
    <row r="31" customFormat="false" ht="14.25" hidden="false" customHeight="true" outlineLevel="0" collapsed="false">
      <c r="A31" s="73" t="s">
        <v>455</v>
      </c>
      <c r="B31" s="73"/>
      <c r="C31" s="74" t="n">
        <f aca="false">C17-C29</f>
        <v>-24254.84</v>
      </c>
      <c r="D31" s="74" t="n">
        <f aca="false">D17-D29</f>
        <v>-40171.084</v>
      </c>
      <c r="E31" s="90" t="n">
        <f aca="false">IFERROR((D31-C31)/ABS(C31),"—")</f>
        <v>-0.656208987567018</v>
      </c>
    </row>
    <row r="33" customFormat="false" ht="14.25" hidden="false" customHeight="true" outlineLevel="0" collapsed="false">
      <c r="A33" s="86" t="s">
        <v>456</v>
      </c>
      <c r="B33" s="86"/>
      <c r="C33" s="86"/>
      <c r="D33" s="86"/>
      <c r="E33" s="86"/>
      <c r="F33" s="86"/>
      <c r="G33" s="86"/>
      <c r="H33" s="86"/>
    </row>
    <row r="34" customFormat="false" ht="14.25" hidden="false" customHeight="true" outlineLevel="0" collapsed="false">
      <c r="A34" s="81" t="s">
        <v>457</v>
      </c>
      <c r="B34" s="81" t="s">
        <v>458</v>
      </c>
      <c r="C34" s="81" t="s">
        <v>459</v>
      </c>
      <c r="D34" s="81" t="s">
        <v>460</v>
      </c>
      <c r="E34" s="81" t="s">
        <v>461</v>
      </c>
      <c r="F34" s="81" t="s">
        <v>47</v>
      </c>
    </row>
    <row r="35" customFormat="false" ht="14.25" hidden="false" customHeight="true" outlineLevel="0" collapsed="false">
      <c r="A35" s="10" t="s">
        <v>462</v>
      </c>
      <c r="B35" s="10" t="s">
        <v>463</v>
      </c>
      <c r="C35" s="35" t="s">
        <v>464</v>
      </c>
      <c r="D35" s="21" t="n">
        <f aca="false">'📈 Compte de résultat'!N19</f>
        <v>26204.72</v>
      </c>
      <c r="E35" s="21" t="n">
        <f aca="false">'📈 Compte de résultat'!N33</f>
        <v>24254.84</v>
      </c>
      <c r="F35" s="21" t="n">
        <f aca="false">'📈 Compte de résultat'!N35</f>
        <v>1949.88</v>
      </c>
    </row>
    <row r="36" customFormat="false" ht="14.25" hidden="false" customHeight="true" outlineLevel="0" collapsed="false">
      <c r="A36" s="10" t="s">
        <v>465</v>
      </c>
      <c r="B36" s="10" t="s">
        <v>466</v>
      </c>
      <c r="C36" s="35" t="s">
        <v>467</v>
      </c>
      <c r="D36" s="21" t="n">
        <f aca="false">D17</f>
        <v>48170.518</v>
      </c>
      <c r="E36" s="21" t="n">
        <f aca="false">D29</f>
        <v>88341.602</v>
      </c>
      <c r="F36" s="21" t="n">
        <f aca="false">D31</f>
        <v>-40171.084</v>
      </c>
    </row>
    <row r="37" customFormat="false" ht="14.25" hidden="false" customHeight="true" outlineLevel="0" collapsed="false">
      <c r="A37" s="10" t="s">
        <v>468</v>
      </c>
      <c r="B37" s="10" t="s">
        <v>469</v>
      </c>
      <c r="C37" s="35" t="s">
        <v>470</v>
      </c>
      <c r="D37" s="21" t="n">
        <f aca="false">D17*1.25</f>
        <v>60213.1475</v>
      </c>
      <c r="E37" s="21" t="n">
        <f aca="false">D29*1.05</f>
        <v>92758.6821</v>
      </c>
      <c r="F37" s="21" t="n">
        <f aca="false">D36-E36</f>
        <v>-40171.084</v>
      </c>
    </row>
  </sheetData>
  <mergeCells count="17">
    <mergeCell ref="A1:H1"/>
    <mergeCell ref="A2:H2"/>
    <mergeCell ref="A4:H4"/>
    <mergeCell ref="A17:B17"/>
    <mergeCell ref="A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A29:B29"/>
    <mergeCell ref="A31:B31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9375" defaultRowHeight="14.2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0"/>
    <col collapsed="false" customWidth="true" hidden="false" outlineLevel="0" max="3" min="3" style="1" width="25"/>
    <col collapsed="false" customWidth="true" hidden="false" outlineLevel="0" max="4" min="4" style="1" width="40"/>
  </cols>
  <sheetData>
    <row r="1" customFormat="false" ht="27.75" hidden="false" customHeight="true" outlineLevel="0" collapsed="false">
      <c r="A1" s="2" t="s">
        <v>471</v>
      </c>
      <c r="B1" s="2"/>
      <c r="C1" s="2"/>
      <c r="D1" s="2"/>
    </row>
    <row r="2" customFormat="false" ht="14.25" hidden="false" customHeight="true" outlineLevel="0" collapsed="false">
      <c r="A2" s="3" t="s">
        <v>472</v>
      </c>
      <c r="B2" s="3"/>
      <c r="C2" s="3"/>
      <c r="D2" s="3"/>
    </row>
    <row r="4" customFormat="false" ht="14.25" hidden="false" customHeight="true" outlineLevel="0" collapsed="false">
      <c r="A4" s="91" t="s">
        <v>473</v>
      </c>
      <c r="B4" s="91"/>
      <c r="C4" s="91"/>
      <c r="D4" s="91"/>
    </row>
    <row r="5" customFormat="false" ht="14.25" hidden="false" customHeight="true" outlineLevel="0" collapsed="false">
      <c r="A5" s="5" t="s">
        <v>474</v>
      </c>
      <c r="B5" s="10" t="s">
        <v>475</v>
      </c>
      <c r="C5" s="10"/>
      <c r="D5" s="10"/>
    </row>
    <row r="6" customFormat="false" ht="14.25" hidden="false" customHeight="true" outlineLevel="0" collapsed="false">
      <c r="A6" s="5" t="s">
        <v>476</v>
      </c>
      <c r="B6" s="10" t="s">
        <v>477</v>
      </c>
      <c r="C6" s="10"/>
      <c r="D6" s="10"/>
    </row>
    <row r="7" customFormat="false" ht="14.25" hidden="false" customHeight="true" outlineLevel="0" collapsed="false">
      <c r="A7" s="5" t="s">
        <v>478</v>
      </c>
      <c r="B7" s="10" t="s">
        <v>479</v>
      </c>
      <c r="C7" s="10"/>
      <c r="D7" s="10"/>
    </row>
    <row r="8" customFormat="false" ht="14.25" hidden="false" customHeight="true" outlineLevel="0" collapsed="false">
      <c r="A8" s="5" t="s">
        <v>480</v>
      </c>
      <c r="B8" s="10" t="s">
        <v>481</v>
      </c>
      <c r="C8" s="10"/>
      <c r="D8" s="10"/>
    </row>
    <row r="9" customFormat="false" ht="14.25" hidden="false" customHeight="true" outlineLevel="0" collapsed="false">
      <c r="A9" s="5" t="s">
        <v>482</v>
      </c>
      <c r="B9" s="10" t="s">
        <v>483</v>
      </c>
      <c r="C9" s="10"/>
      <c r="D9" s="10"/>
    </row>
    <row r="10" customFormat="false" ht="14.25" hidden="false" customHeight="true" outlineLevel="0" collapsed="false">
      <c r="A10" s="5" t="s">
        <v>484</v>
      </c>
      <c r="B10" s="10" t="s">
        <v>485</v>
      </c>
      <c r="C10" s="10"/>
      <c r="D10" s="10"/>
    </row>
    <row r="13" customFormat="false" ht="14.25" hidden="false" customHeight="true" outlineLevel="0" collapsed="false">
      <c r="A13" s="91" t="s">
        <v>486</v>
      </c>
      <c r="B13" s="91"/>
      <c r="C13" s="91"/>
      <c r="D13" s="91"/>
    </row>
    <row r="14" customFormat="false" ht="14.25" hidden="false" customHeight="true" outlineLevel="0" collapsed="false">
      <c r="A14" s="81" t="s">
        <v>487</v>
      </c>
      <c r="B14" s="81" t="s">
        <v>488</v>
      </c>
      <c r="C14" s="81" t="s">
        <v>489</v>
      </c>
      <c r="D14" s="81" t="s">
        <v>490</v>
      </c>
    </row>
    <row r="15" customFormat="false" ht="25.5" hidden="false" customHeight="true" outlineLevel="0" collapsed="false">
      <c r="A15" s="10" t="s">
        <v>491</v>
      </c>
      <c r="B15" s="10" t="s">
        <v>492</v>
      </c>
      <c r="C15" s="36" t="s">
        <v>493</v>
      </c>
      <c r="D15" s="10" t="s">
        <v>494</v>
      </c>
    </row>
    <row r="16" customFormat="false" ht="25.5" hidden="false" customHeight="true" outlineLevel="0" collapsed="false">
      <c r="A16" s="10" t="s">
        <v>491</v>
      </c>
      <c r="B16" s="10" t="s">
        <v>495</v>
      </c>
      <c r="C16" s="36" t="s">
        <v>493</v>
      </c>
      <c r="D16" s="10" t="s">
        <v>496</v>
      </c>
    </row>
    <row r="17" customFormat="false" ht="25.5" hidden="false" customHeight="true" outlineLevel="0" collapsed="false">
      <c r="A17" s="10" t="s">
        <v>497</v>
      </c>
      <c r="B17" s="10" t="s">
        <v>498</v>
      </c>
      <c r="C17" s="36" t="s">
        <v>499</v>
      </c>
      <c r="D17" s="10" t="s">
        <v>500</v>
      </c>
    </row>
    <row r="18" customFormat="false" ht="25.5" hidden="false" customHeight="true" outlineLevel="0" collapsed="false">
      <c r="A18" s="10" t="s">
        <v>497</v>
      </c>
      <c r="B18" s="10" t="s">
        <v>501</v>
      </c>
      <c r="C18" s="36" t="s">
        <v>502</v>
      </c>
      <c r="D18" s="10" t="s">
        <v>503</v>
      </c>
    </row>
    <row r="19" customFormat="false" ht="25.5" hidden="false" customHeight="true" outlineLevel="0" collapsed="false">
      <c r="A19" s="10" t="s">
        <v>497</v>
      </c>
      <c r="B19" s="10" t="s">
        <v>504</v>
      </c>
      <c r="C19" s="36" t="s">
        <v>188</v>
      </c>
      <c r="D19" s="10" t="s">
        <v>505</v>
      </c>
    </row>
    <row r="20" customFormat="false" ht="25.5" hidden="false" customHeight="true" outlineLevel="0" collapsed="false">
      <c r="A20" s="10" t="s">
        <v>506</v>
      </c>
      <c r="B20" s="10" t="s">
        <v>507</v>
      </c>
      <c r="C20" s="36" t="s">
        <v>188</v>
      </c>
      <c r="D20" s="10" t="s">
        <v>508</v>
      </c>
    </row>
    <row r="21" customFormat="false" ht="25.5" hidden="false" customHeight="true" outlineLevel="0" collapsed="false">
      <c r="A21" s="10" t="s">
        <v>506</v>
      </c>
      <c r="B21" s="10" t="s">
        <v>507</v>
      </c>
      <c r="C21" s="36" t="s">
        <v>188</v>
      </c>
      <c r="D21" s="10" t="s">
        <v>509</v>
      </c>
    </row>
    <row r="22" customFormat="false" ht="14.25" hidden="false" customHeight="true" outlineLevel="0" collapsed="false">
      <c r="A22" s="10" t="s">
        <v>506</v>
      </c>
      <c r="B22" s="10" t="s">
        <v>510</v>
      </c>
      <c r="C22" s="36" t="s">
        <v>511</v>
      </c>
      <c r="D22" s="10" t="s">
        <v>512</v>
      </c>
    </row>
    <row r="23" customFormat="false" ht="14.25" hidden="false" customHeight="true" outlineLevel="0" collapsed="false">
      <c r="A23" s="10" t="s">
        <v>513</v>
      </c>
      <c r="B23" s="10" t="s">
        <v>514</v>
      </c>
      <c r="C23" s="36" t="s">
        <v>188</v>
      </c>
      <c r="D23" s="10" t="s">
        <v>515</v>
      </c>
    </row>
    <row r="24" customFormat="false" ht="14.25" hidden="false" customHeight="true" outlineLevel="0" collapsed="false">
      <c r="A24" s="10" t="s">
        <v>513</v>
      </c>
      <c r="B24" s="10" t="s">
        <v>516</v>
      </c>
      <c r="C24" s="36" t="s">
        <v>188</v>
      </c>
      <c r="D24" s="10" t="s">
        <v>517</v>
      </c>
    </row>
    <row r="25" customFormat="false" ht="25.5" hidden="false" customHeight="true" outlineLevel="0" collapsed="false">
      <c r="A25" s="10" t="s">
        <v>518</v>
      </c>
      <c r="B25" s="10" t="s">
        <v>519</v>
      </c>
      <c r="C25" s="36" t="s">
        <v>520</v>
      </c>
      <c r="D25" s="10" t="s">
        <v>521</v>
      </c>
    </row>
    <row r="26" customFormat="false" ht="25.5" hidden="false" customHeight="true" outlineLevel="0" collapsed="false">
      <c r="A26" s="10" t="s">
        <v>518</v>
      </c>
      <c r="B26" s="10" t="s">
        <v>522</v>
      </c>
      <c r="C26" s="36" t="s">
        <v>188</v>
      </c>
      <c r="D26" s="10" t="s">
        <v>523</v>
      </c>
    </row>
    <row r="27" customFormat="false" ht="25.5" hidden="false" customHeight="true" outlineLevel="0" collapsed="false">
      <c r="A27" s="10" t="s">
        <v>524</v>
      </c>
      <c r="B27" s="10" t="s">
        <v>519</v>
      </c>
      <c r="C27" s="36" t="s">
        <v>520</v>
      </c>
      <c r="D27" s="10" t="s">
        <v>525</v>
      </c>
    </row>
    <row r="30" customFormat="false" ht="14.25" hidden="false" customHeight="true" outlineLevel="0" collapsed="false">
      <c r="A30" s="66" t="s">
        <v>526</v>
      </c>
      <c r="B30" s="66"/>
      <c r="C30" s="66"/>
      <c r="D30" s="66"/>
    </row>
    <row r="31" customFormat="false" ht="14.25" hidden="false" customHeight="true" outlineLevel="0" collapsed="false">
      <c r="A31" s="81" t="s">
        <v>527</v>
      </c>
      <c r="B31" s="81" t="s">
        <v>528</v>
      </c>
      <c r="C31" s="81" t="s">
        <v>529</v>
      </c>
      <c r="D31" s="81"/>
    </row>
    <row r="32" customFormat="false" ht="14.25" hidden="false" customHeight="true" outlineLevel="0" collapsed="false">
      <c r="A32" s="10" t="s">
        <v>530</v>
      </c>
      <c r="B32" s="10" t="s">
        <v>531</v>
      </c>
      <c r="C32" s="10" t="s">
        <v>532</v>
      </c>
      <c r="D32" s="10"/>
    </row>
    <row r="33" customFormat="false" ht="14.25" hidden="false" customHeight="true" outlineLevel="0" collapsed="false">
      <c r="A33" s="10" t="s">
        <v>533</v>
      </c>
      <c r="B33" s="10" t="s">
        <v>534</v>
      </c>
      <c r="C33" s="10" t="s">
        <v>535</v>
      </c>
      <c r="D33" s="10"/>
    </row>
    <row r="34" customFormat="false" ht="23.25" hidden="false" customHeight="true" outlineLevel="0" collapsed="false">
      <c r="A34" s="10" t="s">
        <v>536</v>
      </c>
      <c r="B34" s="10" t="s">
        <v>537</v>
      </c>
      <c r="C34" s="10" t="s">
        <v>538</v>
      </c>
      <c r="D34" s="10"/>
    </row>
    <row r="35" customFormat="false" ht="14.25" hidden="false" customHeight="true" outlineLevel="0" collapsed="false">
      <c r="A35" s="10" t="s">
        <v>539</v>
      </c>
      <c r="B35" s="10" t="s">
        <v>540</v>
      </c>
      <c r="C35" s="10" t="s">
        <v>541</v>
      </c>
      <c r="D35" s="10"/>
    </row>
    <row r="36" customFormat="false" ht="14.25" hidden="false" customHeight="true" outlineLevel="0" collapsed="false">
      <c r="A36" s="10" t="s">
        <v>542</v>
      </c>
      <c r="B36" s="10" t="s">
        <v>543</v>
      </c>
      <c r="C36" s="10" t="s">
        <v>544</v>
      </c>
      <c r="D36" s="10"/>
    </row>
    <row r="39" customFormat="false" ht="14.25" hidden="false" customHeight="true" outlineLevel="0" collapsed="false">
      <c r="A39" s="91" t="s">
        <v>545</v>
      </c>
      <c r="B39" s="91"/>
      <c r="C39" s="91"/>
      <c r="D39" s="91"/>
    </row>
    <row r="40" customFormat="false" ht="14.25" hidden="false" customHeight="true" outlineLevel="0" collapsed="false">
      <c r="A40" s="5" t="s">
        <v>546</v>
      </c>
      <c r="B40" s="10" t="s">
        <v>547</v>
      </c>
      <c r="C40" s="10"/>
      <c r="D40" s="10"/>
    </row>
    <row r="41" customFormat="false" ht="14.25" hidden="false" customHeight="true" outlineLevel="0" collapsed="false">
      <c r="A41" s="5" t="s">
        <v>548</v>
      </c>
      <c r="B41" s="10" t="s">
        <v>549</v>
      </c>
      <c r="C41" s="10"/>
      <c r="D41" s="10"/>
    </row>
    <row r="42" customFormat="false" ht="14.25" hidden="false" customHeight="true" outlineLevel="0" collapsed="false">
      <c r="A42" s="5" t="s">
        <v>550</v>
      </c>
      <c r="B42" s="10" t="s">
        <v>551</v>
      </c>
      <c r="C42" s="10"/>
      <c r="D42" s="10"/>
    </row>
    <row r="43" customFormat="false" ht="14.25" hidden="false" customHeight="true" outlineLevel="0" collapsed="false">
      <c r="A43" s="5" t="s">
        <v>552</v>
      </c>
      <c r="B43" s="10" t="s">
        <v>553</v>
      </c>
      <c r="C43" s="10"/>
      <c r="D43" s="10"/>
    </row>
    <row r="44" customFormat="false" ht="14.25" hidden="false" customHeight="true" outlineLevel="0" collapsed="false">
      <c r="A44" s="5" t="s">
        <v>554</v>
      </c>
      <c r="B44" s="10" t="s">
        <v>555</v>
      </c>
      <c r="C44" s="10"/>
      <c r="D44" s="10"/>
    </row>
    <row r="45" customFormat="false" ht="14.25" hidden="false" customHeight="true" outlineLevel="0" collapsed="false">
      <c r="A45" s="5" t="s">
        <v>556</v>
      </c>
      <c r="B45" s="10" t="s">
        <v>557</v>
      </c>
      <c r="C45" s="10"/>
      <c r="D45" s="10"/>
    </row>
  </sheetData>
  <mergeCells count="24">
    <mergeCell ref="A1:D1"/>
    <mergeCell ref="A2:D2"/>
    <mergeCell ref="A4:D4"/>
    <mergeCell ref="B5:D5"/>
    <mergeCell ref="B6:D6"/>
    <mergeCell ref="B7:D7"/>
    <mergeCell ref="B8:D8"/>
    <mergeCell ref="B9:D9"/>
    <mergeCell ref="B10:D10"/>
    <mergeCell ref="A13:D13"/>
    <mergeCell ref="A30:D30"/>
    <mergeCell ref="C31:D31"/>
    <mergeCell ref="C32:D32"/>
    <mergeCell ref="C33:D33"/>
    <mergeCell ref="C34:D34"/>
    <mergeCell ref="C35:D35"/>
    <mergeCell ref="C36:D36"/>
    <mergeCell ref="A39:D39"/>
    <mergeCell ref="B40:D40"/>
    <mergeCell ref="B41:D41"/>
    <mergeCell ref="B42:D42"/>
    <mergeCell ref="B43:D43"/>
    <mergeCell ref="B44:D44"/>
    <mergeCell ref="B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2026-04-17T13:23:47Z</dcterms:created>
  <dc:creator>openpyxl</dc:creator>
  <dc:description/>
  <dc:language>en-US</dc:language>
  <cp:lastModifiedBy>Samir CHIKHI</cp:lastModifiedBy>
  <dcterms:modified xsi:type="dcterms:W3CDTF">2026-06-25T15:07:32Z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